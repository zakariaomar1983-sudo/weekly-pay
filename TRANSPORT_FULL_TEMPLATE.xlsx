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42cd9cfa6b8b338/WEEKLY PAY/"/>
    </mc:Choice>
  </mc:AlternateContent>
  <xr:revisionPtr revIDLastSave="37" documentId="13_ncr:1_{CB5E388B-2078-4E27-9FBB-DC2DD507FF94}" xr6:coauthVersionLast="47" xr6:coauthVersionMax="47" xr10:uidLastSave="{E1D90913-8957-4100-8729-04A2C7A50FDA}"/>
  <bookViews>
    <workbookView xWindow="12890" yWindow="-21710" windowWidth="38620" windowHeight="21100" xr2:uid="{00000000-000D-0000-FFFF-FFFF00000000}"/>
  </bookViews>
  <sheets>
    <sheet name="UPDATE" sheetId="1" r:id="rId1"/>
    <sheet name="DATA" sheetId="2" r:id="rId2"/>
    <sheet name="WEEKLY SUMMARY" sheetId="3" r:id="rId3"/>
    <sheet name="PAYSLIPS" sheetId="4" r:id="rId4"/>
    <sheet name="DASHBOARD" sheetId="5" r:id="rId5"/>
    <sheet name="WEEK HISTORY" sheetId="6" r:id="rId6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C12" i="2"/>
  <c r="E15" i="2"/>
  <c r="C13" i="2"/>
  <c r="E13" i="2"/>
  <c r="A3" i="2"/>
  <c r="A4" i="2"/>
  <c r="A5" i="2"/>
  <c r="A6" i="2"/>
  <c r="A7" i="2"/>
  <c r="A8" i="2"/>
  <c r="D2" i="2"/>
  <c r="D3" i="2"/>
  <c r="D4" i="2"/>
  <c r="D5" i="2"/>
  <c r="D6" i="2"/>
  <c r="D7" i="2"/>
  <c r="D8" i="2"/>
  <c r="D28" i="5"/>
  <c r="D29" i="5"/>
  <c r="C28" i="5"/>
  <c r="C29" i="5"/>
  <c r="B28" i="5"/>
  <c r="B29" i="5"/>
  <c r="D18" i="5"/>
  <c r="D19" i="5"/>
  <c r="D20" i="5"/>
  <c r="D21" i="5"/>
  <c r="D22" i="5"/>
  <c r="D23" i="5"/>
  <c r="D24" i="5"/>
  <c r="D25" i="5"/>
  <c r="D26" i="5"/>
  <c r="D27" i="5"/>
  <c r="C18" i="5"/>
  <c r="C19" i="5"/>
  <c r="C20" i="5"/>
  <c r="C21" i="5"/>
  <c r="C22" i="5"/>
  <c r="C23" i="5"/>
  <c r="C24" i="5"/>
  <c r="C25" i="5"/>
  <c r="C26" i="5"/>
  <c r="C27" i="5"/>
  <c r="B18" i="5"/>
  <c r="B19" i="5"/>
  <c r="B20" i="5"/>
  <c r="B21" i="5"/>
  <c r="B22" i="5"/>
  <c r="B23" i="5"/>
  <c r="B24" i="5"/>
  <c r="B25" i="5"/>
  <c r="B26" i="5"/>
  <c r="B27" i="5"/>
  <c r="I3" i="2"/>
  <c r="C3" i="3" s="1"/>
  <c r="I4" i="2"/>
  <c r="C4" i="3" s="1"/>
  <c r="I5" i="2"/>
  <c r="C5" i="3" s="1"/>
  <c r="I6" i="2"/>
  <c r="C6" i="3" s="1"/>
  <c r="I7" i="2"/>
  <c r="C7" i="3" s="1"/>
  <c r="I8" i="2"/>
  <c r="C8" i="3" s="1"/>
  <c r="I2" i="2"/>
  <c r="C2" i="3" s="1"/>
  <c r="A14" i="5"/>
  <c r="A13" i="5"/>
  <c r="A12" i="5"/>
  <c r="A11" i="5"/>
  <c r="A10" i="5"/>
  <c r="A9" i="5"/>
  <c r="A8" i="5"/>
  <c r="I17" i="2"/>
  <c r="B62" i="4" s="1"/>
  <c r="H17" i="2"/>
  <c r="B61" i="4" s="1"/>
  <c r="G17" i="2"/>
  <c r="B60" i="4" s="1"/>
  <c r="F17" i="2"/>
  <c r="B59" i="4" s="1"/>
  <c r="E17" i="2"/>
  <c r="B58" i="4" s="1"/>
  <c r="D17" i="2"/>
  <c r="B57" i="4" s="1"/>
  <c r="C17" i="2"/>
  <c r="B17" i="2"/>
  <c r="D56" i="4" s="1"/>
  <c r="A17" i="2"/>
  <c r="B56" i="4" s="1"/>
  <c r="I16" i="2"/>
  <c r="D7" i="3" s="1"/>
  <c r="H16" i="2"/>
  <c r="B52" i="4" s="1"/>
  <c r="G16" i="2"/>
  <c r="B51" i="4" s="1"/>
  <c r="F16" i="2"/>
  <c r="B50" i="4" s="1"/>
  <c r="E16" i="2"/>
  <c r="B49" i="4" s="1"/>
  <c r="D16" i="2"/>
  <c r="B48" i="4" s="1"/>
  <c r="C16" i="2"/>
  <c r="B16" i="2"/>
  <c r="D47" i="4" s="1"/>
  <c r="A16" i="2"/>
  <c r="B47" i="4" s="1"/>
  <c r="I15" i="2"/>
  <c r="B44" i="4" s="1"/>
  <c r="H15" i="2"/>
  <c r="B43" i="4" s="1"/>
  <c r="G15" i="2"/>
  <c r="B42" i="4" s="1"/>
  <c r="F15" i="2"/>
  <c r="B41" i="4" s="1"/>
  <c r="B40" i="4"/>
  <c r="D15" i="2"/>
  <c r="B39" i="4" s="1"/>
  <c r="C15" i="2"/>
  <c r="B15" i="2"/>
  <c r="D38" i="4" s="1"/>
  <c r="A15" i="2"/>
  <c r="B38" i="4" s="1"/>
  <c r="I14" i="2"/>
  <c r="B35" i="4" s="1"/>
  <c r="H14" i="2"/>
  <c r="B34" i="4" s="1"/>
  <c r="G14" i="2"/>
  <c r="B33" i="4" s="1"/>
  <c r="F14" i="2"/>
  <c r="B32" i="4" s="1"/>
  <c r="E14" i="2"/>
  <c r="B31" i="4" s="1"/>
  <c r="D14" i="2"/>
  <c r="B30" i="4" s="1"/>
  <c r="C14" i="2"/>
  <c r="B14" i="2"/>
  <c r="D29" i="4" s="1"/>
  <c r="A14" i="2"/>
  <c r="B29" i="4" s="1"/>
  <c r="I13" i="2"/>
  <c r="B26" i="4" s="1"/>
  <c r="H13" i="2"/>
  <c r="B25" i="4" s="1"/>
  <c r="G13" i="2"/>
  <c r="B24" i="4" s="1"/>
  <c r="F13" i="2"/>
  <c r="B23" i="4" s="1"/>
  <c r="B22" i="4"/>
  <c r="D13" i="2"/>
  <c r="B21" i="4" s="1"/>
  <c r="B13" i="2"/>
  <c r="D20" i="4" s="1"/>
  <c r="A13" i="2"/>
  <c r="B20" i="4" s="1"/>
  <c r="I12" i="2"/>
  <c r="D3" i="3" s="1"/>
  <c r="H12" i="2"/>
  <c r="B16" i="4" s="1"/>
  <c r="G12" i="2"/>
  <c r="B15" i="4" s="1"/>
  <c r="F12" i="2"/>
  <c r="B14" i="4" s="1"/>
  <c r="E12" i="2"/>
  <c r="B13" i="4" s="1"/>
  <c r="D12" i="2"/>
  <c r="B12" i="4" s="1"/>
  <c r="B12" i="2"/>
  <c r="D11" i="4" s="1"/>
  <c r="A12" i="2"/>
  <c r="B11" i="4" s="1"/>
  <c r="I11" i="2"/>
  <c r="D2" i="3" s="1"/>
  <c r="H11" i="2"/>
  <c r="B7" i="4" s="1"/>
  <c r="G11" i="2"/>
  <c r="B6" i="4" s="1"/>
  <c r="F11" i="2"/>
  <c r="B5" i="4" s="1"/>
  <c r="B4" i="4"/>
  <c r="D11" i="2"/>
  <c r="B3" i="4" s="1"/>
  <c r="C11" i="2"/>
  <c r="B11" i="2"/>
  <c r="D2" i="4" s="1"/>
  <c r="A11" i="2"/>
  <c r="B2" i="4" s="1"/>
  <c r="H8" i="2"/>
  <c r="G8" i="2"/>
  <c r="F8" i="2"/>
  <c r="E8" i="2"/>
  <c r="B8" i="2"/>
  <c r="H7" i="2"/>
  <c r="G7" i="2"/>
  <c r="F7" i="2"/>
  <c r="E7" i="2"/>
  <c r="B7" i="2"/>
  <c r="H6" i="2"/>
  <c r="G6" i="2"/>
  <c r="F6" i="2"/>
  <c r="E6" i="2"/>
  <c r="B6" i="2"/>
  <c r="H5" i="2"/>
  <c r="G5" i="2"/>
  <c r="F5" i="2"/>
  <c r="E5" i="2"/>
  <c r="B5" i="2"/>
  <c r="H4" i="2"/>
  <c r="G4" i="2"/>
  <c r="F4" i="2"/>
  <c r="E4" i="2"/>
  <c r="B4" i="2"/>
  <c r="H3" i="2"/>
  <c r="G3" i="2"/>
  <c r="F3" i="2"/>
  <c r="E3" i="2"/>
  <c r="B3" i="2"/>
  <c r="H2" i="2"/>
  <c r="G2" i="2"/>
  <c r="F2" i="2"/>
  <c r="E2" i="2"/>
  <c r="B2" i="2"/>
  <c r="E8" i="3" l="1"/>
  <c r="C14" i="5" s="1"/>
  <c r="F7" i="3" a="1"/>
  <c r="F7" i="3" s="1"/>
  <c r="B13" i="5" s="1"/>
  <c r="F3" i="3" a="1"/>
  <c r="F3" i="3" s="1"/>
  <c r="B9" i="5" s="1"/>
  <c r="F2" i="3" a="1"/>
  <c r="F2" i="3" s="1"/>
  <c r="G2" i="3" s="1"/>
  <c r="D5" i="3"/>
  <c r="F5" i="3" s="1" a="1"/>
  <c r="F5" i="3" s="1"/>
  <c r="D4" i="3"/>
  <c r="F4" i="3" s="1" a="1"/>
  <c r="F4" i="3" s="1"/>
  <c r="E2" i="3"/>
  <c r="C8" i="5" s="1"/>
  <c r="E3" i="3"/>
  <c r="D6" i="3"/>
  <c r="F6" i="3" s="1" a="1"/>
  <c r="F6" i="3" s="1"/>
  <c r="G6" i="3" s="1"/>
  <c r="E5" i="3"/>
  <c r="C11" i="5" s="1"/>
  <c r="E7" i="3"/>
  <c r="E4" i="3"/>
  <c r="E6" i="3"/>
  <c r="D8" i="3"/>
  <c r="F8" i="3" s="1" a="1"/>
  <c r="F8" i="3" s="1"/>
  <c r="B8" i="4"/>
  <c r="B17" i="4"/>
  <c r="B53" i="4"/>
  <c r="G7" i="3" l="1"/>
  <c r="D13" i="5" s="1"/>
  <c r="G3" i="3"/>
  <c r="D9" i="5" s="1"/>
  <c r="B8" i="5"/>
  <c r="B14" i="5"/>
  <c r="G8" i="3"/>
  <c r="D14" i="5" s="1"/>
  <c r="G4" i="3"/>
  <c r="D10" i="5" s="1"/>
  <c r="B10" i="5"/>
  <c r="D12" i="5"/>
  <c r="B12" i="5"/>
  <c r="B11" i="5"/>
  <c r="B2" i="6"/>
  <c r="B17" i="5" s="1"/>
  <c r="B38" i="5"/>
  <c r="G5" i="3"/>
  <c r="B2" i="5"/>
  <c r="C9" i="5"/>
  <c r="C38" i="5"/>
  <c r="C2" i="6"/>
  <c r="D17" i="5" s="1"/>
  <c r="C12" i="5"/>
  <c r="C10" i="5"/>
  <c r="C13" i="5"/>
  <c r="D8" i="5"/>
  <c r="B3" i="5"/>
  <c r="D2" i="6" l="1"/>
  <c r="C17" i="5" s="1"/>
  <c r="D11" i="5"/>
  <c r="D38" i="5"/>
  <c r="B4" i="5"/>
  <c r="I2" i="1"/>
  <c r="I4" i="1"/>
  <c r="I6" i="1"/>
  <c r="I7" i="1"/>
  <c r="I5" i="1"/>
  <c r="I3" i="1"/>
  <c r="I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<sst xmlns="http://schemas.openxmlformats.org/spreadsheetml/2006/main" count="157" uniqueCount="69">
  <si>
    <t>DATE</t>
  </si>
  <si>
    <t>TRUCK#</t>
  </si>
  <si>
    <t>DIESEL</t>
  </si>
  <si>
    <t>TOLL</t>
  </si>
  <si>
    <t>MECHANIC</t>
  </si>
  <si>
    <t>RENTAL</t>
  </si>
  <si>
    <t>REGO</t>
  </si>
  <si>
    <t>INSURANCE</t>
  </si>
  <si>
    <t>TOTAL TRUCK COST</t>
  </si>
  <si>
    <t>WEEK#</t>
  </si>
  <si>
    <t>DRIVER</t>
  </si>
  <si>
    <t>PAYSLIP</t>
  </si>
  <si>
    <t>BASE PAY</t>
  </si>
  <si>
    <t>BONUS</t>
  </si>
  <si>
    <t>NIGHT RUN</t>
  </si>
  <si>
    <t>LATE DEDUCTION</t>
  </si>
  <si>
    <t>AYUUTO DEDUCTION</t>
  </si>
  <si>
    <t>FINAL DRIVER PAY</t>
  </si>
  <si>
    <t>ZAKY</t>
  </si>
  <si>
    <t>SUHEN</t>
  </si>
  <si>
    <t>SAMATAR</t>
  </si>
  <si>
    <t>SALEH</t>
  </si>
  <si>
    <t>RAMZI</t>
  </si>
  <si>
    <t>SHERMAKER</t>
  </si>
  <si>
    <t>IMRAN</t>
  </si>
  <si>
    <t>TOTAL EXPENSES</t>
  </si>
  <si>
    <t>REVENUE</t>
  </si>
  <si>
    <t>PROFIT</t>
  </si>
  <si>
    <t>WEEK DATE</t>
  </si>
  <si>
    <t>Week #</t>
  </si>
  <si>
    <t>Driver</t>
  </si>
  <si>
    <t>Base Pay</t>
  </si>
  <si>
    <t>Bonus</t>
  </si>
  <si>
    <t>Night Run</t>
  </si>
  <si>
    <t>Late Deduction</t>
  </si>
  <si>
    <t>Ayuuto Deduction</t>
  </si>
  <si>
    <t>FINAL PAY</t>
  </si>
  <si>
    <t>Metric</t>
  </si>
  <si>
    <t>Amount</t>
  </si>
  <si>
    <t>Total Revenue</t>
  </si>
  <si>
    <t>Total Expenses</t>
  </si>
  <si>
    <t>Total Profit</t>
  </si>
  <si>
    <t>Truck#</t>
  </si>
  <si>
    <t>Revenue</t>
  </si>
  <si>
    <t>Expenses</t>
  </si>
  <si>
    <t>Profit</t>
  </si>
  <si>
    <t>MONTH</t>
  </si>
  <si>
    <t>Total REV</t>
  </si>
  <si>
    <t>Total PROF</t>
  </si>
  <si>
    <t>total EXP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</si>
  <si>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</si>
  <si>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</si>
  <si>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</si>
  <si>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</si>
  <si>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</si>
  <si>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</si>
  <si>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</si>
  <si>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</si>
  <si>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</si>
  <si>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</si>
  <si>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</si>
  <si>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</si>
  <si>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Week</t>
  </si>
  <si>
    <t>Total EXP</t>
  </si>
  <si>
    <t>TOTAL REVENUE</t>
  </si>
  <si>
    <t>TOTAL  EXPENSES</t>
  </si>
  <si>
    <t>TOTAL PROFIT</t>
  </si>
  <si>
    <t>YEAR</t>
  </si>
  <si>
    <t>Total 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</si>
</sst>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Profit per Truck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Profit per Truck</c:v>
          </c:tx>
          <c:invertIfNegative val="0"/>
          <c:cat>
            <c:numRef>
              <c:f>DASHBOARD!$A$8:$A$14</c:f>
              <c:numCache>
                <c:formatCode>General</c:formatCode>
                <c:ptCount val="7"/>
                <c:pt idx="0">
                  <c:v>853</c:v>
                </c:pt>
                <c:pt idx="1">
                  <c:v>881</c:v>
                </c:pt>
                <c:pt idx="2">
                  <c:v>855</c:v>
                </c:pt>
                <c:pt idx="3">
                  <c:v>840</c:v>
                </c:pt>
                <c:pt idx="4">
                  <c:v>841</c:v>
                </c:pt>
                <c:pt idx="5">
                  <c:v>672</c:v>
                </c:pt>
                <c:pt idx="6">
                  <c:v>620</c:v>
                </c:pt>
              </c:numCache>
            </c:numRef>
          </c:cat>
          <c:val>
            <c:numRef>
              <c:f>DASHBOARD!$D$8:$D$14</c:f>
              <c:numCache>
                <c:formatCode>General</c:formatCode>
                <c:ptCount val="7"/>
                <c:pt idx="0">
                  <c:v>-3477.7269999999999</c:v>
                </c:pt>
                <c:pt idx="1">
                  <c:v>-3318.2269999999999</c:v>
                </c:pt>
                <c:pt idx="2">
                  <c:v>-3104.7269999999999</c:v>
                </c:pt>
                <c:pt idx="3">
                  <c:v>-3914.7269999999999</c:v>
                </c:pt>
                <c:pt idx="4">
                  <c:v>-2128.2269999999999</c:v>
                </c:pt>
                <c:pt idx="5">
                  <c:v>-2871.7269999999999</c:v>
                </c:pt>
                <c:pt idx="6">
                  <c:v>-2819.7269999999999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2-4052-B0B8-4083F98CB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Truck#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584200</xdr:colOff>
      <xdr:row>6</xdr:row>
      <xdr:rowOff>71437</xdr:rowOff>
    </xdr:from>
    <xdr:to>
      <xdr:col>19</xdr:col>
      <xdr:colOff>107950</xdr:colOff>
      <xdr:row>20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9"/>
  <sheetViews>
    <sheetView tabSelected="1" workbookViewId="0">
      <selection activeCell="I2" sqref="I2"/>
    </sheetView>
  </sheetViews>
  <sheetFormatPr defaultColWidth="9" defaultRowHeight="21"/>
  <cols>
    <col min="1" max="1" width="15" style="4" bestFit="1" customWidth="1"/>
    <col min="2" max="2" width="15.7109375" style="4" bestFit="1" customWidth="1"/>
    <col min="3" max="3" width="11.28515625" style="4" bestFit="1" customWidth="1"/>
    <col min="4" max="4" width="12.42578125" style="4" bestFit="1" customWidth="1"/>
    <col min="5" max="5" width="14.140625" style="4" bestFit="1" customWidth="1"/>
    <col min="6" max="6" width="15.5703125" style="4" bestFit="1" customWidth="1"/>
    <col min="7" max="7" width="22" style="4" bestFit="1" customWidth="1"/>
    <col min="8" max="8" width="26.7109375" style="4" bestFit="1" customWidth="1"/>
    <col min="9" max="9" width="24.42578125" style="4" bestFit="1" customWidth="1"/>
    <col min="10" max="16384" width="9" style="4"/>
  </cols>
  <sheetData>
    <row r="1" spans="1:9" ht="21.75" thickTop="1" thickBo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21.75" thickTop="1" thickBot="1">
      <c r="A2" s="14">
        <v>45975</v>
      </c>
      <c r="B2" s="5">
        <v>853</v>
      </c>
      <c r="C2" s="5"/>
      <c r="D2" s="5"/>
      <c r="E2" s="5">
        <v>142.857</v>
      </c>
      <c r="F2" s="5">
        <v>1000</v>
      </c>
      <c r="G2" s="5">
        <v>28.3</v>
      </c>
      <c r="H2" s="5">
        <v>428.57</v>
      </c>
      <c r="I2" s="5">
        <f ca="1">SUM(I2:I8)</f>
        <v>0</v>
      </c>
    </row>
    <row r="3" spans="1:9" ht="21.75" thickTop="1" thickBot="1">
      <c r="A3" s="14">
        <v>45975</v>
      </c>
      <c r="B3" s="5">
        <v>881</v>
      </c>
      <c r="C3" s="5"/>
      <c r="D3" s="5"/>
      <c r="E3" s="5">
        <v>142.857</v>
      </c>
      <c r="F3" s="5">
        <v>500</v>
      </c>
      <c r="G3" s="5">
        <v>28.3</v>
      </c>
      <c r="H3" s="5">
        <v>428.57</v>
      </c>
      <c r="I3" s="5">
        <f t="shared" ref="I3:I8" ca="1" si="0">SUM(I3:I9)</f>
        <v>0</v>
      </c>
    </row>
    <row r="4" spans="1:9" ht="21.75" thickTop="1" thickBot="1">
      <c r="A4" s="14">
        <v>45975</v>
      </c>
      <c r="B4" s="5">
        <v>855</v>
      </c>
      <c r="C4" s="5"/>
      <c r="D4" s="5"/>
      <c r="E4" s="5">
        <v>142.857</v>
      </c>
      <c r="F4" s="5"/>
      <c r="G4" s="5">
        <v>28.3</v>
      </c>
      <c r="H4" s="5">
        <v>428.57</v>
      </c>
      <c r="I4" s="5">
        <f t="shared" ca="1" si="0"/>
        <v>0</v>
      </c>
    </row>
    <row r="5" spans="1:9" ht="21.75" thickTop="1" thickBot="1">
      <c r="A5" s="14">
        <v>45975</v>
      </c>
      <c r="B5" s="5">
        <v>840</v>
      </c>
      <c r="C5" s="5"/>
      <c r="D5" s="5"/>
      <c r="E5" s="5">
        <v>142.857</v>
      </c>
      <c r="F5" s="5">
        <v>850</v>
      </c>
      <c r="G5" s="5">
        <v>28.3</v>
      </c>
      <c r="H5" s="5">
        <v>428.57</v>
      </c>
      <c r="I5" s="5">
        <f t="shared" ca="1" si="0"/>
        <v>0</v>
      </c>
    </row>
    <row r="6" spans="1:9" ht="21.75" thickTop="1" thickBot="1">
      <c r="A6" s="14">
        <v>45975</v>
      </c>
      <c r="B6" s="5">
        <v>841</v>
      </c>
      <c r="C6" s="5"/>
      <c r="D6" s="5"/>
      <c r="E6" s="5">
        <v>142.857</v>
      </c>
      <c r="F6" s="5"/>
      <c r="G6" s="5">
        <v>28.3</v>
      </c>
      <c r="H6" s="5">
        <v>428.57</v>
      </c>
      <c r="I6" s="5">
        <f t="shared" ca="1" si="0"/>
        <v>0</v>
      </c>
    </row>
    <row r="7" spans="1:9" ht="21.75" thickTop="1" thickBot="1">
      <c r="A7" s="14">
        <v>45975</v>
      </c>
      <c r="B7" s="5">
        <v>672</v>
      </c>
      <c r="C7" s="5"/>
      <c r="D7" s="5"/>
      <c r="E7" s="5">
        <v>142.857</v>
      </c>
      <c r="F7" s="5"/>
      <c r="G7" s="5">
        <v>28.3</v>
      </c>
      <c r="H7" s="5">
        <v>428.57</v>
      </c>
      <c r="I7" s="5">
        <f t="shared" ca="1" si="0"/>
        <v>0</v>
      </c>
    </row>
    <row r="8" spans="1:9" ht="21.75" thickTop="1" thickBot="1">
      <c r="A8" s="14">
        <v>45975</v>
      </c>
      <c r="B8" s="5">
        <v>620</v>
      </c>
      <c r="C8" s="5"/>
      <c r="D8" s="5"/>
      <c r="E8" s="5">
        <v>142.857</v>
      </c>
      <c r="F8" s="5"/>
      <c r="G8" s="5">
        <v>28.3</v>
      </c>
      <c r="H8" s="5">
        <v>428.57</v>
      </c>
      <c r="I8" s="5">
        <f t="shared" ca="1" si="0"/>
        <v>0</v>
      </c>
    </row>
    <row r="9" spans="1:9" ht="21.4" thickTop="1"/>
    <row r="10" spans="1:9" ht="21.4" thickBot="1"/>
    <row r="11" spans="1:9" ht="21.75" thickTop="1" thickBot="1">
      <c r="A11" s="7" t="s">
        <v>9</v>
      </c>
      <c r="B11" s="7" t="s">
        <v>10</v>
      </c>
      <c r="C11" s="7" t="s">
        <v>11</v>
      </c>
      <c r="D11" s="7" t="s">
        <v>12</v>
      </c>
      <c r="E11" s="7" t="s">
        <v>13</v>
      </c>
      <c r="F11" s="7" t="s">
        <v>14</v>
      </c>
      <c r="G11" s="7" t="s">
        <v>15</v>
      </c>
      <c r="H11" s="7" t="s">
        <v>16</v>
      </c>
      <c r="I11" s="7" t="s">
        <v>17</v>
      </c>
    </row>
    <row r="12" spans="1:9" ht="21.75" thickTop="1" thickBot="1">
      <c r="A12" s="5">
        <v>49</v>
      </c>
      <c r="B12" s="5" t="s">
        <v>18</v>
      </c>
      <c r="C12" s="5"/>
      <c r="D12" s="5">
        <v>1650</v>
      </c>
      <c r="E12" s="5"/>
      <c r="F12" s="5"/>
      <c r="G12" s="5"/>
      <c r="H12" s="5">
        <v>625</v>
      </c>
      <c r="I12" s="5"/>
    </row>
    <row r="13" spans="1:9" ht="21.75" thickTop="1" thickBot="1">
      <c r="A13" s="5">
        <v>49</v>
      </c>
      <c r="B13" s="5" t="s">
        <v>19</v>
      </c>
      <c r="C13" s="5"/>
      <c r="D13" s="5">
        <v>1650</v>
      </c>
      <c r="E13" s="5"/>
      <c r="F13" s="5"/>
      <c r="G13" s="5"/>
      <c r="H13" s="5">
        <v>312.5</v>
      </c>
      <c r="I13" s="5"/>
    </row>
    <row r="14" spans="1:9" ht="21.75" thickTop="1" thickBot="1">
      <c r="A14" s="5">
        <v>49</v>
      </c>
      <c r="B14" s="5" t="s">
        <v>20</v>
      </c>
      <c r="C14" s="5"/>
      <c r="D14" s="5">
        <v>1650</v>
      </c>
      <c r="E14" s="5"/>
      <c r="F14" s="5"/>
      <c r="G14" s="5"/>
      <c r="H14" s="5"/>
      <c r="I14" s="5"/>
    </row>
    <row r="15" spans="1:9" ht="21.75" thickTop="1" thickBot="1">
      <c r="A15" s="5">
        <v>49</v>
      </c>
      <c r="B15" s="5" t="s">
        <v>21</v>
      </c>
      <c r="C15" s="5"/>
      <c r="D15" s="5">
        <v>1625</v>
      </c>
      <c r="E15" s="5"/>
      <c r="F15" s="5"/>
      <c r="G15" s="5"/>
      <c r="H15" s="5"/>
      <c r="I15" s="5"/>
    </row>
    <row r="16" spans="1:9" ht="21.75" thickTop="1" thickBot="1">
      <c r="A16" s="5">
        <v>49</v>
      </c>
      <c r="B16" s="5" t="s">
        <v>22</v>
      </c>
      <c r="C16" s="5"/>
      <c r="D16" s="5">
        <v>1625</v>
      </c>
      <c r="E16" s="5"/>
      <c r="F16" s="5"/>
      <c r="G16" s="5"/>
      <c r="H16" s="5">
        <v>937.5</v>
      </c>
      <c r="I16" s="5"/>
    </row>
    <row r="17" spans="1:9" ht="21.75" thickTop="1" thickBot="1">
      <c r="A17" s="5">
        <v>49</v>
      </c>
      <c r="B17" s="5" t="s">
        <v>23</v>
      </c>
      <c r="C17" s="5"/>
      <c r="D17" s="5">
        <v>1600</v>
      </c>
      <c r="E17" s="5"/>
      <c r="F17" s="5"/>
      <c r="G17" s="5"/>
      <c r="H17" s="5"/>
      <c r="I17" s="5"/>
    </row>
    <row r="18" spans="1:9" ht="21.75" thickTop="1" thickBot="1">
      <c r="A18" s="5">
        <v>49</v>
      </c>
      <c r="B18" s="5" t="s">
        <v>24</v>
      </c>
      <c r="C18" s="5"/>
      <c r="D18" s="5">
        <v>1600</v>
      </c>
      <c r="E18" s="5"/>
      <c r="F18" s="5"/>
      <c r="G18" s="5"/>
      <c r="H18" s="5"/>
      <c r="I18" s="5"/>
    </row>
    <row r="19" spans="1:9" ht="21.4" thickTop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18"/>
  <sheetViews>
    <sheetView workbookViewId="0">
      <selection activeCell="I14" sqref="I14"/>
    </sheetView>
  </sheetViews>
  <sheetFormatPr defaultColWidth="9" defaultRowHeight="21"/>
  <cols>
    <col min="1" max="1" width="15" style="4" bestFit="1" customWidth="1"/>
    <col min="2" max="2" width="15.7109375" style="4" bestFit="1" customWidth="1"/>
    <col min="3" max="3" width="10.28515625" style="4" bestFit="1" customWidth="1"/>
    <col min="4" max="4" width="12.140625" style="4" bestFit="1" customWidth="1"/>
    <col min="5" max="5" width="14" style="4" bestFit="1" customWidth="1"/>
    <col min="6" max="6" width="14.5703125" style="4" bestFit="1" customWidth="1"/>
    <col min="7" max="7" width="21.7109375" style="4" bestFit="1" customWidth="1"/>
    <col min="8" max="8" width="26.28515625" style="4" bestFit="1" customWidth="1"/>
    <col min="9" max="9" width="24" style="4" bestFit="1" customWidth="1"/>
    <col min="10" max="16384" width="9" style="4"/>
  </cols>
  <sheetData>
    <row r="1" spans="1:9" ht="21.75" thickTop="1" thickBo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21.75" thickTop="1" thickBot="1">
      <c r="A2" s="16">
        <f>UPDATE!A2</f>
        <v>45975</v>
      </c>
      <c r="B2" s="5">
        <f>UPDATE!B2</f>
        <v>853</v>
      </c>
      <c r="C2" s="5">
        <v>811</v>
      </c>
      <c r="D2" s="5">
        <f>UPDATE!D2</f>
        <v>0</v>
      </c>
      <c r="E2" s="5">
        <f>UPDATE!E2</f>
        <v>142.857</v>
      </c>
      <c r="F2" s="5">
        <f>UPDATE!F2</f>
        <v>1000</v>
      </c>
      <c r="G2" s="5">
        <f>UPDATE!G2</f>
        <v>28.3</v>
      </c>
      <c r="H2" s="5">
        <f>UPDATE!H2</f>
        <v>428.57</v>
      </c>
      <c r="I2" s="5">
        <f>SUM(UPDATE!B2:H2)</f>
        <v>2452.7269999999999</v>
      </c>
    </row>
    <row r="3" spans="1:9" ht="21.75" thickTop="1" thickBot="1">
      <c r="A3" s="5">
        <f>UPDATE!A3</f>
        <v>45975</v>
      </c>
      <c r="B3" s="5">
        <f>UPDATE!B3</f>
        <v>881</v>
      </c>
      <c r="C3" s="5">
        <v>811</v>
      </c>
      <c r="D3" s="5">
        <f>UPDATE!D3</f>
        <v>0</v>
      </c>
      <c r="E3" s="5">
        <f>UPDATE!E3</f>
        <v>142.857</v>
      </c>
      <c r="F3" s="5">
        <f>UPDATE!F3</f>
        <v>500</v>
      </c>
      <c r="G3" s="5">
        <f>UPDATE!G3</f>
        <v>28.3</v>
      </c>
      <c r="H3" s="5">
        <f>UPDATE!H3</f>
        <v>428.57</v>
      </c>
      <c r="I3" s="5">
        <f>SUM(UPDATE!B3:H3)</f>
        <v>1980.7269999999999</v>
      </c>
    </row>
    <row r="4" spans="1:9" ht="21.75" thickTop="1" thickBot="1">
      <c r="A4" s="5">
        <f>UPDATE!A4</f>
        <v>45975</v>
      </c>
      <c r="B4" s="5">
        <f>UPDATE!B4</f>
        <v>855</v>
      </c>
      <c r="C4" s="5">
        <v>553</v>
      </c>
      <c r="D4" s="5">
        <f>UPDATE!D4</f>
        <v>0</v>
      </c>
      <c r="E4" s="5">
        <f>UPDATE!E4</f>
        <v>142.857</v>
      </c>
      <c r="F4" s="5">
        <f>UPDATE!F4</f>
        <v>0</v>
      </c>
      <c r="G4" s="5">
        <f>UPDATE!G4</f>
        <v>28.3</v>
      </c>
      <c r="H4" s="5">
        <f>UPDATE!H4</f>
        <v>428.57</v>
      </c>
      <c r="I4" s="5">
        <f>SUM(UPDATE!B4:H4)</f>
        <v>1454.7269999999999</v>
      </c>
    </row>
    <row r="5" spans="1:9" ht="21.75" thickTop="1" thickBot="1">
      <c r="A5" s="5">
        <f>UPDATE!A5</f>
        <v>45975</v>
      </c>
      <c r="B5" s="5">
        <f>UPDATE!B5</f>
        <v>840</v>
      </c>
      <c r="C5" s="5">
        <v>548</v>
      </c>
      <c r="D5" s="5">
        <f>UPDATE!D5</f>
        <v>0</v>
      </c>
      <c r="E5" s="5">
        <f>UPDATE!E5</f>
        <v>142.857</v>
      </c>
      <c r="F5" s="5">
        <f>UPDATE!F5</f>
        <v>850</v>
      </c>
      <c r="G5" s="5">
        <f>UPDATE!G5</f>
        <v>28.3</v>
      </c>
      <c r="H5" s="5">
        <f>UPDATE!H5</f>
        <v>428.57</v>
      </c>
      <c r="I5" s="5">
        <f>SUM(UPDATE!B5:H5)</f>
        <v>2289.7269999999999</v>
      </c>
    </row>
    <row r="6" spans="1:9" ht="21.75" thickTop="1" thickBot="1">
      <c r="A6" s="5">
        <f>UPDATE!A6</f>
        <v>45975</v>
      </c>
      <c r="B6" s="5">
        <f>UPDATE!B6</f>
        <v>841</v>
      </c>
      <c r="C6" s="5">
        <v>260</v>
      </c>
      <c r="D6" s="5">
        <f>UPDATE!D6</f>
        <v>0</v>
      </c>
      <c r="E6" s="5">
        <f>UPDATE!E6</f>
        <v>142.857</v>
      </c>
      <c r="F6" s="5">
        <f>UPDATE!F6</f>
        <v>0</v>
      </c>
      <c r="G6" s="5">
        <f>UPDATE!G6</f>
        <v>28.3</v>
      </c>
      <c r="H6" s="5">
        <f>UPDATE!H6</f>
        <v>428.57</v>
      </c>
      <c r="I6" s="5">
        <f>SUM(UPDATE!B6:H6)</f>
        <v>1440.7269999999999</v>
      </c>
    </row>
    <row r="7" spans="1:9" ht="21.75" thickTop="1" thickBot="1">
      <c r="A7" s="5">
        <f>UPDATE!A7</f>
        <v>45975</v>
      </c>
      <c r="B7" s="5">
        <f>UPDATE!B7</f>
        <v>672</v>
      </c>
      <c r="C7" s="5">
        <v>527.78</v>
      </c>
      <c r="D7" s="5">
        <f>UPDATE!D7</f>
        <v>0</v>
      </c>
      <c r="E7" s="5">
        <f>UPDATE!E7</f>
        <v>142.857</v>
      </c>
      <c r="F7" s="5">
        <f>UPDATE!F7</f>
        <v>0</v>
      </c>
      <c r="G7" s="5">
        <f>UPDATE!G7</f>
        <v>28.3</v>
      </c>
      <c r="H7" s="5">
        <f>UPDATE!H7</f>
        <v>428.57</v>
      </c>
      <c r="I7" s="5">
        <f>SUM(UPDATE!B7:H7)</f>
        <v>1271.7269999999999</v>
      </c>
    </row>
    <row r="8" spans="1:9" ht="21.75" thickTop="1" thickBot="1">
      <c r="A8" s="5">
        <f>UPDATE!A8</f>
        <v>45975</v>
      </c>
      <c r="B8" s="5">
        <f>UPDATE!B8</f>
        <v>620</v>
      </c>
      <c r="C8" s="5">
        <v>471</v>
      </c>
      <c r="D8" s="5">
        <f>UPDATE!D8</f>
        <v>0</v>
      </c>
      <c r="E8" s="5">
        <f>UPDATE!E8</f>
        <v>142.857</v>
      </c>
      <c r="F8" s="5">
        <f>UPDATE!F8</f>
        <v>0</v>
      </c>
      <c r="G8" s="5">
        <f>UPDATE!G8</f>
        <v>28.3</v>
      </c>
      <c r="H8" s="5">
        <f>UPDATE!H8</f>
        <v>428.57</v>
      </c>
      <c r="I8" s="5">
        <f>SUM(UPDATE!B8:H8)</f>
        <v>1219.7269999999999</v>
      </c>
    </row>
    <row r="9" spans="1:9" ht="21.75" thickTop="1" thickBot="1"/>
    <row r="10" spans="1:9" ht="21.75" thickTop="1" thickBot="1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8" t="s">
        <v>16</v>
      </c>
      <c r="I10" s="8" t="s">
        <v>17</v>
      </c>
    </row>
    <row r="11" spans="1:9" ht="21.75" thickTop="1" thickBot="1">
      <c r="A11" s="5">
        <f>UPDATE!A12</f>
        <v>49</v>
      </c>
      <c r="B11" s="5" t="str">
        <f>UPDATE!B12</f>
        <v>ZAKY</v>
      </c>
      <c r="C11" s="5">
        <f>UPDATE!C12</f>
        <v>0</v>
      </c>
      <c r="D11" s="5">
        <f>UPDATE!D12</f>
        <v>1650</v>
      </c>
      <c r="E11" s="5">
        <v>400</v>
      </c>
      <c r="F11" s="5">
        <f>UPDATE!F12</f>
        <v>0</v>
      </c>
      <c r="G11" s="5">
        <f>UPDATE!G12</f>
        <v>0</v>
      </c>
      <c r="H11" s="5">
        <f>UPDATE!H12</f>
        <v>625</v>
      </c>
      <c r="I11" s="5">
        <f>UPDATE!D12+UPDATE!E12+UPDATE!F12-UPDATE!G12-UPDATE!H12</f>
        <v>1025</v>
      </c>
    </row>
    <row r="12" spans="1:9" ht="21.75" thickTop="1" thickBot="1">
      <c r="A12" s="5">
        <f>UPDATE!A13</f>
        <v>49</v>
      </c>
      <c r="B12" s="5" t="str">
        <f>UPDATE!B13</f>
        <v>SUHEN</v>
      </c>
      <c r="C12" s="5">
        <f>UPDATE!C13</f>
        <v>0</v>
      </c>
      <c r="D12" s="5">
        <f>UPDATE!D13</f>
        <v>1650</v>
      </c>
      <c r="E12" s="5">
        <f>UPDATE!E13</f>
        <v>0</v>
      </c>
      <c r="F12" s="5">
        <f>UPDATE!F13</f>
        <v>0</v>
      </c>
      <c r="G12" s="5">
        <f>UPDATE!G13</f>
        <v>0</v>
      </c>
      <c r="H12" s="5">
        <f>UPDATE!H13</f>
        <v>312.5</v>
      </c>
      <c r="I12" s="5">
        <f>UPDATE!D13+UPDATE!E13+UPDATE!F13-UPDATE!G13-UPDATE!H13</f>
        <v>1337.5</v>
      </c>
    </row>
    <row r="13" spans="1:9" ht="21.75" thickTop="1" thickBot="1">
      <c r="A13" s="5">
        <f>UPDATE!A14</f>
        <v>49</v>
      </c>
      <c r="B13" s="5" t="str">
        <f>UPDATE!B14</f>
        <v>SAMATAR</v>
      </c>
      <c r="C13" s="5">
        <f>UPDATE!C14</f>
        <v>0</v>
      </c>
      <c r="D13" s="5">
        <f>UPDATE!D14</f>
        <v>1650</v>
      </c>
      <c r="E13" s="5">
        <f>UPDATE!E14</f>
        <v>0</v>
      </c>
      <c r="F13" s="5">
        <f>UPDATE!F14</f>
        <v>0</v>
      </c>
      <c r="G13" s="5">
        <f>UPDATE!G14</f>
        <v>0</v>
      </c>
      <c r="H13" s="5">
        <f>UPDATE!H14</f>
        <v>0</v>
      </c>
      <c r="I13" s="5">
        <f>UPDATE!D14+UPDATE!E14+UPDATE!F14-UPDATE!G14-UPDATE!H14</f>
        <v>1650</v>
      </c>
    </row>
    <row r="14" spans="1:9" ht="21.75" thickTop="1" thickBot="1">
      <c r="A14" s="5">
        <f>UPDATE!A15</f>
        <v>49</v>
      </c>
      <c r="B14" s="5" t="str">
        <f>UPDATE!B15</f>
        <v>SALEH</v>
      </c>
      <c r="C14" s="5">
        <f>UPDATE!C15</f>
        <v>0</v>
      </c>
      <c r="D14" s="5">
        <f>UPDATE!D15</f>
        <v>1625</v>
      </c>
      <c r="E14" s="5">
        <f>UPDATE!E15</f>
        <v>0</v>
      </c>
      <c r="F14" s="5">
        <f>UPDATE!F15</f>
        <v>0</v>
      </c>
      <c r="G14" s="5">
        <f>UPDATE!G15</f>
        <v>0</v>
      </c>
      <c r="H14" s="5">
        <f>UPDATE!H15</f>
        <v>0</v>
      </c>
      <c r="I14" s="5">
        <f>UPDATE!D15+UPDATE!E15+UPDATE!F15-UPDATE!G15-UPDATE!H15</f>
        <v>1625</v>
      </c>
    </row>
    <row r="15" spans="1:9" ht="21.75" thickTop="1" thickBot="1">
      <c r="A15" s="5">
        <f>UPDATE!A16</f>
        <v>49</v>
      </c>
      <c r="B15" s="5" t="str">
        <f>UPDATE!B16</f>
        <v>RAMZI</v>
      </c>
      <c r="C15" s="5">
        <f>UPDATE!C16</f>
        <v>0</v>
      </c>
      <c r="D15" s="5">
        <f>UPDATE!D16</f>
        <v>1625</v>
      </c>
      <c r="E15" s="5">
        <f>UPDATE!E16</f>
        <v>0</v>
      </c>
      <c r="F15" s="5">
        <f>UPDATE!F16</f>
        <v>0</v>
      </c>
      <c r="G15" s="5">
        <f>UPDATE!G16</f>
        <v>0</v>
      </c>
      <c r="H15" s="5">
        <f>UPDATE!H16</f>
        <v>937.5</v>
      </c>
      <c r="I15" s="5">
        <f>UPDATE!D16+UPDATE!E16+UPDATE!F16-UPDATE!G16-UPDATE!H16</f>
        <v>687.5</v>
      </c>
    </row>
    <row r="16" spans="1:9" ht="21.75" thickTop="1" thickBot="1">
      <c r="A16" s="5">
        <f>UPDATE!A17</f>
        <v>49</v>
      </c>
      <c r="B16" s="5" t="str">
        <f>UPDATE!B17</f>
        <v>SHERMAKER</v>
      </c>
      <c r="C16" s="5">
        <f>UPDATE!C17</f>
        <v>0</v>
      </c>
      <c r="D16" s="5">
        <f>UPDATE!D17</f>
        <v>1600</v>
      </c>
      <c r="E16" s="5">
        <f>UPDATE!E17</f>
        <v>0</v>
      </c>
      <c r="F16" s="5">
        <f>UPDATE!F17</f>
        <v>0</v>
      </c>
      <c r="G16" s="5">
        <f>UPDATE!G17</f>
        <v>0</v>
      </c>
      <c r="H16" s="5">
        <f>UPDATE!H17</f>
        <v>0</v>
      </c>
      <c r="I16" s="5">
        <f>UPDATE!D17+UPDATE!E17+UPDATE!F17-UPDATE!G17-UPDATE!H17</f>
        <v>1600</v>
      </c>
    </row>
    <row r="17" spans="1:9" ht="21.75" thickTop="1" thickBot="1">
      <c r="A17" s="5">
        <f>UPDATE!A18</f>
        <v>49</v>
      </c>
      <c r="B17" s="5" t="str">
        <f>UPDATE!B18</f>
        <v>IMRAN</v>
      </c>
      <c r="C17" s="5">
        <f>UPDATE!C18</f>
        <v>0</v>
      </c>
      <c r="D17" s="5">
        <f>UPDATE!D18</f>
        <v>1600</v>
      </c>
      <c r="E17" s="5">
        <f>UPDATE!E18</f>
        <v>0</v>
      </c>
      <c r="F17" s="5">
        <f>UPDATE!F18</f>
        <v>0</v>
      </c>
      <c r="G17" s="5">
        <f>UPDATE!G18</f>
        <v>0</v>
      </c>
      <c r="H17" s="5">
        <f>UPDATE!H18</f>
        <v>0</v>
      </c>
      <c r="I17" s="5">
        <f>UPDATE!D18+UPDATE!E18+UPDATE!F18-UPDATE!G18-UPDATE!H18</f>
        <v>1600</v>
      </c>
    </row>
    <row r="18" spans="1:9" ht="21.4" thickTop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9"/>
  <sheetViews>
    <sheetView workbookViewId="0">
      <selection activeCell="B19" sqref="B19"/>
    </sheetView>
  </sheetViews>
  <sheetFormatPr defaultColWidth="9" defaultRowHeight="21"/>
  <cols>
    <col min="1" max="1" width="9.140625" style="4" bestFit="1" customWidth="1"/>
    <col min="2" max="2" width="10.140625" style="4" bestFit="1" customWidth="1"/>
    <col min="3" max="3" width="24" style="4" bestFit="1" customWidth="1"/>
    <col min="4" max="4" width="22.42578125" style="4" bestFit="1" customWidth="1"/>
    <col min="5" max="5" width="21.140625" style="4" bestFit="1" customWidth="1"/>
    <col min="6" max="6" width="12" style="4" bestFit="1" customWidth="1"/>
    <col min="7" max="7" width="10.7109375" style="4" bestFit="1" customWidth="1"/>
    <col min="8" max="8" width="15" style="4" bestFit="1" customWidth="1"/>
    <col min="9" max="16384" width="9" style="4"/>
  </cols>
  <sheetData>
    <row r="1" spans="1:8" ht="21.75" thickTop="1" thickBot="1">
      <c r="A1" s="3" t="s">
        <v>9</v>
      </c>
      <c r="B1" s="3" t="s">
        <v>1</v>
      </c>
      <c r="C1" s="3" t="s">
        <v>8</v>
      </c>
      <c r="D1" s="3" t="s">
        <v>17</v>
      </c>
      <c r="E1" s="3" t="s">
        <v>25</v>
      </c>
      <c r="F1" s="3" t="s">
        <v>26</v>
      </c>
      <c r="G1" s="3" t="s">
        <v>27</v>
      </c>
      <c r="H1" s="3" t="s">
        <v>28</v>
      </c>
    </row>
    <row r="2" spans="1:8" ht="21.75" thickTop="1" thickBot="1">
      <c r="A2" s="5">
        <v>48</v>
      </c>
      <c r="B2" s="5">
        <v>853</v>
      </c>
      <c r="C2" s="5">
        <f>DATA!I2</f>
        <v>2452.7269999999999</v>
      </c>
      <c r="D2" s="5">
        <f>DATA!I11</f>
        <v>1025</v>
      </c>
      <c r="E2" s="5">
        <f>DATA!C2+DATA!D2+DATA!E2+DATA!F2+DATA!H2+DATA!E11+DATA!F11+DATA!H11</f>
        <v>3407.4270000000001</v>
      </c>
      <c r="F2" s="5" cm="1">
        <f t="array" ref="F2">INDEX(DATA!$C$11:$C$17, ROW()-1) - C2 - D2</f>
        <v>-3477.7269999999999</v>
      </c>
      <c r="G2" s="5">
        <f>F2</f>
        <v>-3477.7269999999999</v>
      </c>
      <c r="H2" s="14">
        <v>45988</v>
      </c>
    </row>
    <row r="3" spans="1:8" ht="21.75" thickTop="1" thickBot="1">
      <c r="A3" s="5">
        <v>48</v>
      </c>
      <c r="B3" s="5">
        <v>881</v>
      </c>
      <c r="C3" s="5">
        <f>DATA!I3</f>
        <v>1980.7269999999999</v>
      </c>
      <c r="D3" s="5">
        <f>DATA!I12</f>
        <v>1337.5</v>
      </c>
      <c r="E3" s="5">
        <f>DATA!C3+DATA!D3+DATA!E3+DATA!F3+DATA!H3+DATA!E12+DATA!F12+DATA!H12</f>
        <v>2194.9269999999997</v>
      </c>
      <c r="F3" s="5" cm="1">
        <f t="array" ref="F3">INDEX(DATA!$C$11:$C$17, ROW()-1) - C3 - D3</f>
        <v>-3318.2269999999999</v>
      </c>
      <c r="G3" s="5">
        <f t="shared" ref="G3:G8" si="0">F3</f>
        <v>-3318.2269999999999</v>
      </c>
      <c r="H3" s="5"/>
    </row>
    <row r="4" spans="1:8" ht="21.75" thickTop="1" thickBot="1">
      <c r="A4" s="5">
        <v>48</v>
      </c>
      <c r="B4" s="5">
        <v>855</v>
      </c>
      <c r="C4" s="5">
        <f>DATA!I4</f>
        <v>1454.7269999999999</v>
      </c>
      <c r="D4" s="5">
        <f>DATA!I13</f>
        <v>1650</v>
      </c>
      <c r="E4" s="5">
        <f>DATA!C4+DATA!D4+DATA!E4+DATA!F4+DATA!H4+DATA!E13+DATA!F13+DATA!H13</f>
        <v>1124.4269999999999</v>
      </c>
      <c r="F4" s="5" cm="1">
        <f t="array" ref="F4">INDEX(DATA!$C$11:$C$17, ROW()-1) - C4 - D4</f>
        <v>-3104.7269999999999</v>
      </c>
      <c r="G4" s="5">
        <f t="shared" si="0"/>
        <v>-3104.7269999999999</v>
      </c>
      <c r="H4" s="5"/>
    </row>
    <row r="5" spans="1:8" ht="21.75" thickTop="1" thickBot="1">
      <c r="A5" s="5">
        <v>48</v>
      </c>
      <c r="B5" s="5">
        <v>840</v>
      </c>
      <c r="C5" s="5">
        <f>DATA!I5</f>
        <v>2289.7269999999999</v>
      </c>
      <c r="D5" s="5">
        <f>DATA!I14</f>
        <v>1625</v>
      </c>
      <c r="E5" s="5">
        <f>DATA!C5+DATA!D5+DATA!E5+DATA!F5+DATA!H5+DATA!E14+DATA!F14+DATA!H14</f>
        <v>1969.4269999999999</v>
      </c>
      <c r="F5" s="5" cm="1">
        <f t="array" ref="F5">INDEX(DATA!$C$11:$C$17, ROW()-1) - C5 - D5</f>
        <v>-3914.7269999999999</v>
      </c>
      <c r="G5" s="5">
        <f t="shared" si="0"/>
        <v>-3914.7269999999999</v>
      </c>
      <c r="H5" s="5"/>
    </row>
    <row r="6" spans="1:8" ht="21.75" thickTop="1" thickBot="1">
      <c r="A6" s="5">
        <v>48</v>
      </c>
      <c r="B6" s="5">
        <v>841</v>
      </c>
      <c r="C6" s="5">
        <f>DATA!I6</f>
        <v>1440.7269999999999</v>
      </c>
      <c r="D6" s="5">
        <f>DATA!I15</f>
        <v>687.5</v>
      </c>
      <c r="E6" s="5">
        <f>DATA!C6+DATA!D6+DATA!E6+DATA!F6+DATA!H6+DATA!E15+DATA!F15+DATA!H15</f>
        <v>1768.9269999999999</v>
      </c>
      <c r="F6" s="5" cm="1">
        <f t="array" ref="F6">INDEX(DATA!$C$11:$C$17, ROW()-1) - C6 - D6</f>
        <v>-2128.2269999999999</v>
      </c>
      <c r="G6" s="5">
        <f t="shared" si="0"/>
        <v>-2128.2269999999999</v>
      </c>
      <c r="H6" s="5"/>
    </row>
    <row r="7" spans="1:8" ht="21.75" thickTop="1" thickBot="1">
      <c r="A7" s="5">
        <v>48</v>
      </c>
      <c r="B7" s="5">
        <v>672</v>
      </c>
      <c r="C7" s="5">
        <f>DATA!I7</f>
        <v>1271.7269999999999</v>
      </c>
      <c r="D7" s="5">
        <f>DATA!I16</f>
        <v>1600</v>
      </c>
      <c r="E7" s="5">
        <f>DATA!C7+DATA!D7+DATA!E7+DATA!F7+DATA!H7+DATA!E16+DATA!F16+DATA!H16</f>
        <v>1099.2069999999999</v>
      </c>
      <c r="F7" s="5" cm="1">
        <f t="array" ref="F7">INDEX(DATA!$C$11:$C$17, ROW()-1) - C7 - D7</f>
        <v>-2871.7269999999999</v>
      </c>
      <c r="G7" s="5">
        <f t="shared" si="0"/>
        <v>-2871.7269999999999</v>
      </c>
      <c r="H7" s="5"/>
    </row>
    <row r="8" spans="1:8" ht="21.75" thickTop="1" thickBot="1">
      <c r="A8" s="5">
        <v>48</v>
      </c>
      <c r="B8" s="5">
        <v>620</v>
      </c>
      <c r="C8" s="5">
        <f>DATA!I8</f>
        <v>1219.7269999999999</v>
      </c>
      <c r="D8" s="5">
        <f>DATA!I17</f>
        <v>1600</v>
      </c>
      <c r="E8" s="5">
        <f>DATA!C8+DATA!D8+DATA!E8+DATA!F8+DATA!H8+DATA!E17+DATA!F17+DATA!H17</f>
        <v>1042.4269999999999</v>
      </c>
      <c r="F8" s="5" cm="1">
        <f t="array" ref="F8">INDEX(DATA!$C$11:$C$17, ROW()-1) - C8 - D8</f>
        <v>-2819.7269999999999</v>
      </c>
      <c r="G8" s="5">
        <f t="shared" si="0"/>
        <v>-2819.7269999999999</v>
      </c>
      <c r="H8" s="5"/>
    </row>
    <row r="9" spans="1:8" ht="21.4" thickTop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63"/>
  <sheetViews>
    <sheetView workbookViewId="0">
      <selection activeCell="C21" sqref="C21"/>
    </sheetView>
  </sheetViews>
  <sheetFormatPr defaultColWidth="13" defaultRowHeight="14.25"/>
  <cols>
    <col min="1" max="16384" width="13" style="2"/>
  </cols>
  <sheetData>
    <row r="1" spans="1:4" ht="15" thickTop="1" thickBot="1">
      <c r="A1" s="1" t="s">
        <v>11</v>
      </c>
      <c r="B1" s="1"/>
      <c r="C1" s="1"/>
      <c r="D1" s="1"/>
    </row>
    <row r="2" spans="1:4" ht="15" thickTop="1" thickBot="1">
      <c r="A2" s="1" t="s">
        <v>29</v>
      </c>
      <c r="B2" s="1">
        <f>DATA!A11</f>
        <v>49</v>
      </c>
      <c r="C2" s="1" t="s">
        <v>30</v>
      </c>
      <c r="D2" s="1" t="str">
        <f>DATA!B11</f>
        <v>ZAKY</v>
      </c>
    </row>
    <row r="3" spans="1:4" ht="15" thickTop="1" thickBot="1">
      <c r="A3" s="1" t="s">
        <v>31</v>
      </c>
      <c r="B3" s="1">
        <f>DATA!D11</f>
        <v>1650</v>
      </c>
      <c r="C3" s="1"/>
      <c r="D3" s="1"/>
    </row>
    <row r="4" spans="1:4" ht="15" thickTop="1" thickBot="1">
      <c r="A4" s="1" t="s">
        <v>32</v>
      </c>
      <c r="B4" s="1">
        <f>DATA!E11</f>
        <v>400</v>
      </c>
      <c r="C4" s="1"/>
      <c r="D4" s="1"/>
    </row>
    <row r="5" spans="1:4" ht="15" thickTop="1" thickBot="1">
      <c r="A5" s="1" t="s">
        <v>33</v>
      </c>
      <c r="B5" s="1">
        <f>DATA!F11</f>
        <v>0</v>
      </c>
      <c r="C5" s="1"/>
      <c r="D5" s="1"/>
    </row>
    <row r="6" spans="1:4" ht="15" thickTop="1" thickBot="1">
      <c r="A6" s="1" t="s">
        <v>34</v>
      </c>
      <c r="B6" s="1">
        <f>DATA!G11</f>
        <v>0</v>
      </c>
      <c r="C6" s="1"/>
      <c r="D6" s="1"/>
    </row>
    <row r="7" spans="1:4" ht="15" thickTop="1" thickBot="1">
      <c r="A7" s="1" t="s">
        <v>35</v>
      </c>
      <c r="B7" s="1">
        <f>DATA!H11</f>
        <v>625</v>
      </c>
      <c r="C7" s="1"/>
      <c r="D7" s="1"/>
    </row>
    <row r="8" spans="1:4" ht="15" thickTop="1" thickBot="1">
      <c r="A8" s="1" t="s">
        <v>36</v>
      </c>
      <c r="B8" s="1">
        <f>DATA!I11</f>
        <v>1025</v>
      </c>
      <c r="C8" s="1"/>
      <c r="D8" s="1"/>
    </row>
    <row r="9" spans="1:4" ht="15" thickTop="1" thickBot="1"/>
    <row r="10" spans="1:4" ht="15" thickTop="1" thickBot="1">
      <c r="A10" s="1" t="s">
        <v>11</v>
      </c>
      <c r="B10" s="1"/>
      <c r="C10" s="1"/>
      <c r="D10" s="1"/>
    </row>
    <row r="11" spans="1:4" ht="15" thickTop="1" thickBot="1">
      <c r="A11" s="1" t="s">
        <v>29</v>
      </c>
      <c r="B11" s="1">
        <f>DATA!A12</f>
        <v>49</v>
      </c>
      <c r="C11" s="1" t="s">
        <v>30</v>
      </c>
      <c r="D11" s="1" t="str">
        <f>DATA!B12</f>
        <v>SUHEN</v>
      </c>
    </row>
    <row r="12" spans="1:4" ht="15" thickTop="1" thickBot="1">
      <c r="A12" s="1" t="s">
        <v>31</v>
      </c>
      <c r="B12" s="1">
        <f>DATA!D12</f>
        <v>1650</v>
      </c>
      <c r="C12" s="1"/>
      <c r="D12" s="1"/>
    </row>
    <row r="13" spans="1:4" ht="15" thickTop="1" thickBot="1">
      <c r="A13" s="1" t="s">
        <v>32</v>
      </c>
      <c r="B13" s="1">
        <f>DATA!E12</f>
        <v>0</v>
      </c>
      <c r="C13" s="1"/>
      <c r="D13" s="1"/>
    </row>
    <row r="14" spans="1:4" ht="15" thickTop="1" thickBot="1">
      <c r="A14" s="1" t="s">
        <v>33</v>
      </c>
      <c r="B14" s="1">
        <f>DATA!F12</f>
        <v>0</v>
      </c>
      <c r="C14" s="1"/>
      <c r="D14" s="1"/>
    </row>
    <row r="15" spans="1:4" ht="15" thickTop="1" thickBot="1">
      <c r="A15" s="1" t="s">
        <v>34</v>
      </c>
      <c r="B15" s="1">
        <f>DATA!G12</f>
        <v>0</v>
      </c>
      <c r="C15" s="1"/>
      <c r="D15" s="1"/>
    </row>
    <row r="16" spans="1:4" ht="15" thickTop="1" thickBot="1">
      <c r="A16" s="1" t="s">
        <v>35</v>
      </c>
      <c r="B16" s="1">
        <f>DATA!H12</f>
        <v>312.5</v>
      </c>
      <c r="C16" s="1"/>
      <c r="D16" s="1"/>
    </row>
    <row r="17" spans="1:4" ht="15" thickTop="1" thickBot="1">
      <c r="A17" s="1" t="s">
        <v>36</v>
      </c>
      <c r="B17" s="1">
        <f>DATA!I12</f>
        <v>1337.5</v>
      </c>
      <c r="C17" s="1"/>
      <c r="D17" s="1"/>
    </row>
    <row r="18" spans="1:4" ht="15" thickTop="1" thickBot="1"/>
    <row r="19" spans="1:4" ht="15" thickTop="1" thickBot="1">
      <c r="A19" s="1" t="s">
        <v>11</v>
      </c>
      <c r="B19" s="1"/>
      <c r="C19" s="1"/>
      <c r="D19" s="1"/>
    </row>
    <row r="20" spans="1:4" ht="15" thickTop="1" thickBot="1">
      <c r="A20" s="1" t="s">
        <v>29</v>
      </c>
      <c r="B20" s="1">
        <f>DATA!A13</f>
        <v>49</v>
      </c>
      <c r="C20" s="1" t="s">
        <v>30</v>
      </c>
      <c r="D20" s="1" t="str">
        <f>DATA!B13</f>
        <v>SAMATAR</v>
      </c>
    </row>
    <row r="21" spans="1:4" ht="15" thickTop="1" thickBot="1">
      <c r="A21" s="1" t="s">
        <v>31</v>
      </c>
      <c r="B21" s="1">
        <f>DATA!D13</f>
        <v>1650</v>
      </c>
      <c r="C21" s="1"/>
      <c r="D21" s="1"/>
    </row>
    <row r="22" spans="1:4" ht="15" thickTop="1" thickBot="1">
      <c r="A22" s="1" t="s">
        <v>32</v>
      </c>
      <c r="B22" s="1">
        <f>DATA!E13</f>
        <v>0</v>
      </c>
      <c r="C22" s="1"/>
      <c r="D22" s="1"/>
    </row>
    <row r="23" spans="1:4" ht="15" thickTop="1" thickBot="1">
      <c r="A23" s="1" t="s">
        <v>33</v>
      </c>
      <c r="B23" s="1">
        <f>DATA!F13</f>
        <v>0</v>
      </c>
      <c r="C23" s="1"/>
      <c r="D23" s="1"/>
    </row>
    <row r="24" spans="1:4" ht="15" thickTop="1" thickBot="1">
      <c r="A24" s="1" t="s">
        <v>34</v>
      </c>
      <c r="B24" s="1">
        <f>DATA!G13</f>
        <v>0</v>
      </c>
      <c r="C24" s="1"/>
      <c r="D24" s="1"/>
    </row>
    <row r="25" spans="1:4" ht="15" thickTop="1" thickBot="1">
      <c r="A25" s="1" t="s">
        <v>35</v>
      </c>
      <c r="B25" s="1">
        <f>DATA!H13</f>
        <v>0</v>
      </c>
      <c r="C25" s="1"/>
      <c r="D25" s="1"/>
    </row>
    <row r="26" spans="1:4" ht="15" thickTop="1" thickBot="1">
      <c r="A26" s="1" t="s">
        <v>36</v>
      </c>
      <c r="B26" s="1">
        <f>DATA!I13</f>
        <v>1650</v>
      </c>
      <c r="C26" s="1"/>
      <c r="D26" s="1"/>
    </row>
    <row r="27" spans="1:4" ht="15" thickTop="1" thickBot="1"/>
    <row r="28" spans="1:4" ht="15" thickTop="1" thickBot="1">
      <c r="A28" s="1" t="s">
        <v>11</v>
      </c>
      <c r="B28" s="1"/>
      <c r="C28" s="1"/>
      <c r="D28" s="1"/>
    </row>
    <row r="29" spans="1:4" ht="15" thickTop="1" thickBot="1">
      <c r="A29" s="1" t="s">
        <v>29</v>
      </c>
      <c r="B29" s="1">
        <f>DATA!A14</f>
        <v>49</v>
      </c>
      <c r="C29" s="1" t="s">
        <v>30</v>
      </c>
      <c r="D29" s="1" t="str">
        <f>DATA!B14</f>
        <v>SALEH</v>
      </c>
    </row>
    <row r="30" spans="1:4" ht="15" thickTop="1" thickBot="1">
      <c r="A30" s="1" t="s">
        <v>31</v>
      </c>
      <c r="B30" s="1">
        <f>DATA!D14</f>
        <v>1625</v>
      </c>
      <c r="C30" s="1"/>
      <c r="D30" s="1"/>
    </row>
    <row r="31" spans="1:4" ht="15" thickTop="1" thickBot="1">
      <c r="A31" s="1" t="s">
        <v>32</v>
      </c>
      <c r="B31" s="1">
        <f>DATA!E14</f>
        <v>0</v>
      </c>
      <c r="C31" s="1"/>
      <c r="D31" s="1"/>
    </row>
    <row r="32" spans="1:4" ht="15" thickTop="1" thickBot="1">
      <c r="A32" s="1" t="s">
        <v>33</v>
      </c>
      <c r="B32" s="1">
        <f>DATA!F14</f>
        <v>0</v>
      </c>
      <c r="C32" s="1"/>
      <c r="D32" s="1"/>
    </row>
    <row r="33" spans="1:4" ht="15" thickTop="1" thickBot="1">
      <c r="A33" s="1" t="s">
        <v>34</v>
      </c>
      <c r="B33" s="1">
        <f>DATA!G14</f>
        <v>0</v>
      </c>
      <c r="C33" s="1"/>
      <c r="D33" s="1"/>
    </row>
    <row r="34" spans="1:4" ht="15" thickTop="1" thickBot="1">
      <c r="A34" s="1" t="s">
        <v>35</v>
      </c>
      <c r="B34" s="1">
        <f>DATA!H14</f>
        <v>0</v>
      </c>
      <c r="C34" s="1"/>
      <c r="D34" s="1"/>
    </row>
    <row r="35" spans="1:4" ht="15" thickTop="1" thickBot="1">
      <c r="A35" s="1" t="s">
        <v>36</v>
      </c>
      <c r="B35" s="1">
        <f>DATA!I14</f>
        <v>1625</v>
      </c>
      <c r="C35" s="1"/>
      <c r="D35" s="1"/>
    </row>
    <row r="36" spans="1:4" ht="15" thickTop="1" thickBot="1"/>
    <row r="37" spans="1:4" ht="15" thickTop="1" thickBot="1">
      <c r="A37" s="1" t="s">
        <v>11</v>
      </c>
      <c r="B37" s="1"/>
      <c r="C37" s="1"/>
      <c r="D37" s="1"/>
    </row>
    <row r="38" spans="1:4" ht="15" thickTop="1" thickBot="1">
      <c r="A38" s="1" t="s">
        <v>29</v>
      </c>
      <c r="B38" s="1">
        <f>DATA!A15</f>
        <v>49</v>
      </c>
      <c r="C38" s="1" t="s">
        <v>30</v>
      </c>
      <c r="D38" s="1" t="str">
        <f>DATA!B15</f>
        <v>RAMZI</v>
      </c>
    </row>
    <row r="39" spans="1:4" ht="15" thickTop="1" thickBot="1">
      <c r="A39" s="1" t="s">
        <v>31</v>
      </c>
      <c r="B39" s="1">
        <f>DATA!D15</f>
        <v>1625</v>
      </c>
      <c r="C39" s="1"/>
      <c r="D39" s="1"/>
    </row>
    <row r="40" spans="1:4" ht="15" thickTop="1" thickBot="1">
      <c r="A40" s="1" t="s">
        <v>32</v>
      </c>
      <c r="B40" s="1">
        <f>DATA!E15</f>
        <v>0</v>
      </c>
      <c r="C40" s="1"/>
      <c r="D40" s="1"/>
    </row>
    <row r="41" spans="1:4" ht="15" thickTop="1" thickBot="1">
      <c r="A41" s="1" t="s">
        <v>33</v>
      </c>
      <c r="B41" s="1">
        <f>DATA!F15</f>
        <v>0</v>
      </c>
      <c r="C41" s="1"/>
      <c r="D41" s="1"/>
    </row>
    <row r="42" spans="1:4" ht="15" thickTop="1" thickBot="1">
      <c r="A42" s="1" t="s">
        <v>34</v>
      </c>
      <c r="B42" s="1">
        <f>DATA!G15</f>
        <v>0</v>
      </c>
      <c r="C42" s="1"/>
      <c r="D42" s="1"/>
    </row>
    <row r="43" spans="1:4" ht="15" thickTop="1" thickBot="1">
      <c r="A43" s="1" t="s">
        <v>35</v>
      </c>
      <c r="B43" s="1">
        <f>DATA!H15</f>
        <v>937.5</v>
      </c>
      <c r="C43" s="1"/>
      <c r="D43" s="1"/>
    </row>
    <row r="44" spans="1:4" ht="15" thickTop="1" thickBot="1">
      <c r="A44" s="1" t="s">
        <v>36</v>
      </c>
      <c r="B44" s="1">
        <f>DATA!I15</f>
        <v>687.5</v>
      </c>
      <c r="C44" s="1"/>
      <c r="D44" s="1"/>
    </row>
    <row r="45" spans="1:4" ht="15" thickTop="1" thickBot="1"/>
    <row r="46" spans="1:4" ht="15" thickTop="1" thickBot="1">
      <c r="A46" s="1" t="s">
        <v>11</v>
      </c>
      <c r="B46" s="1"/>
      <c r="C46" s="1"/>
      <c r="D46" s="1"/>
    </row>
    <row r="47" spans="1:4" ht="15" thickTop="1" thickBot="1">
      <c r="A47" s="1" t="s">
        <v>29</v>
      </c>
      <c r="B47" s="1">
        <f>DATA!A16</f>
        <v>49</v>
      </c>
      <c r="C47" s="1" t="s">
        <v>30</v>
      </c>
      <c r="D47" s="1" t="str">
        <f>DATA!B16</f>
        <v>SHERMAKER</v>
      </c>
    </row>
    <row r="48" spans="1:4" ht="15" thickTop="1" thickBot="1">
      <c r="A48" s="1" t="s">
        <v>31</v>
      </c>
      <c r="B48" s="1">
        <f>DATA!D16</f>
        <v>1600</v>
      </c>
      <c r="C48" s="1"/>
      <c r="D48" s="1"/>
    </row>
    <row r="49" spans="1:4" ht="15" thickTop="1" thickBot="1">
      <c r="A49" s="1" t="s">
        <v>32</v>
      </c>
      <c r="B49" s="1">
        <f>DATA!E16</f>
        <v>0</v>
      </c>
      <c r="C49" s="1"/>
      <c r="D49" s="1"/>
    </row>
    <row r="50" spans="1:4" ht="15" thickTop="1" thickBot="1">
      <c r="A50" s="1" t="s">
        <v>33</v>
      </c>
      <c r="B50" s="1">
        <f>DATA!F16</f>
        <v>0</v>
      </c>
      <c r="C50" s="1"/>
      <c r="D50" s="1"/>
    </row>
    <row r="51" spans="1:4" ht="15" thickTop="1" thickBot="1">
      <c r="A51" s="1" t="s">
        <v>34</v>
      </c>
      <c r="B51" s="1">
        <f>DATA!G16</f>
        <v>0</v>
      </c>
      <c r="C51" s="1"/>
      <c r="D51" s="1"/>
    </row>
    <row r="52" spans="1:4" ht="15" thickTop="1" thickBot="1">
      <c r="A52" s="1" t="s">
        <v>35</v>
      </c>
      <c r="B52" s="1">
        <f>DATA!H16</f>
        <v>0</v>
      </c>
      <c r="C52" s="1"/>
      <c r="D52" s="1"/>
    </row>
    <row r="53" spans="1:4" ht="15" thickTop="1" thickBot="1">
      <c r="A53" s="1" t="s">
        <v>36</v>
      </c>
      <c r="B53" s="1">
        <f>DATA!I16</f>
        <v>1600</v>
      </c>
      <c r="C53" s="1"/>
      <c r="D53" s="1"/>
    </row>
    <row r="54" spans="1:4" ht="15" thickTop="1" thickBot="1"/>
    <row r="55" spans="1:4" ht="15" thickTop="1" thickBot="1">
      <c r="A55" s="1" t="s">
        <v>11</v>
      </c>
      <c r="B55" s="1"/>
      <c r="C55" s="1"/>
      <c r="D55" s="1"/>
    </row>
    <row r="56" spans="1:4" ht="15" thickTop="1" thickBot="1">
      <c r="A56" s="1" t="s">
        <v>29</v>
      </c>
      <c r="B56" s="1">
        <f>DATA!A17</f>
        <v>49</v>
      </c>
      <c r="C56" s="1" t="s">
        <v>30</v>
      </c>
      <c r="D56" s="1" t="str">
        <f>DATA!B17</f>
        <v>IMRAN</v>
      </c>
    </row>
    <row r="57" spans="1:4" ht="15" thickTop="1" thickBot="1">
      <c r="A57" s="1" t="s">
        <v>31</v>
      </c>
      <c r="B57" s="1">
        <f>DATA!D17</f>
        <v>1600</v>
      </c>
      <c r="C57" s="1"/>
      <c r="D57" s="1"/>
    </row>
    <row r="58" spans="1:4" ht="15" thickTop="1" thickBot="1">
      <c r="A58" s="1" t="s">
        <v>32</v>
      </c>
      <c r="B58" s="1">
        <f>DATA!E17</f>
        <v>0</v>
      </c>
      <c r="C58" s="1"/>
      <c r="D58" s="1"/>
    </row>
    <row r="59" spans="1:4" ht="15" thickTop="1" thickBot="1">
      <c r="A59" s="1" t="s">
        <v>33</v>
      </c>
      <c r="B59" s="1">
        <f>DATA!F17</f>
        <v>0</v>
      </c>
      <c r="C59" s="1"/>
      <c r="D59" s="1"/>
    </row>
    <row r="60" spans="1:4" ht="15" thickTop="1" thickBot="1">
      <c r="A60" s="1" t="s">
        <v>34</v>
      </c>
      <c r="B60" s="1">
        <f>DATA!G17</f>
        <v>0</v>
      </c>
      <c r="C60" s="1"/>
      <c r="D60" s="1"/>
    </row>
    <row r="61" spans="1:4" ht="15" thickTop="1" thickBot="1">
      <c r="A61" s="1" t="s">
        <v>35</v>
      </c>
      <c r="B61" s="1">
        <f>DATA!H17</f>
        <v>0</v>
      </c>
      <c r="C61" s="1"/>
      <c r="D61" s="1"/>
    </row>
    <row r="62" spans="1:4" ht="15" thickTop="1" thickBot="1">
      <c r="A62" s="1" t="s">
        <v>36</v>
      </c>
      <c r="B62" s="1">
        <f>DATA!I17</f>
        <v>1600</v>
      </c>
      <c r="C62" s="1"/>
      <c r="D62" s="1"/>
    </row>
    <row r="63" spans="1:4" ht="14.65" thickTop="1"/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51"/>
  <sheetViews>
    <sheetView workbookViewId="0">
      <selection activeCell="A39" sqref="A39:A45"/>
    </sheetView>
  </sheetViews>
  <sheetFormatPr defaultRowHeight="14.25"/>
  <cols>
    <col min="1" max="1" width="18.5703125" bestFit="1" customWidth="1"/>
    <col min="2" max="2" width="11" bestFit="1" customWidth="1"/>
    <col min="3" max="3" width="14.42578125" customWidth="1"/>
    <col min="4" max="4" width="13.85546875" customWidth="1"/>
    <col min="5" max="5" width="10.42578125" bestFit="1" customWidth="1"/>
  </cols>
  <sheetData>
    <row r="1" spans="1:4" ht="21.75" thickTop="1" thickBot="1">
      <c r="A1" s="5" t="s">
        <v>37</v>
      </c>
      <c r="B1" s="5" t="s">
        <v>38</v>
      </c>
      <c r="C1" s="4"/>
      <c r="D1" s="4"/>
    </row>
    <row r="2" spans="1:4" ht="21.75" thickTop="1" thickBot="1">
      <c r="A2" s="6" t="s">
        <v>39</v>
      </c>
      <c r="B2" s="6">
        <f>'WEEKLY SUMMARY'!F2+'WEEKLY SUMMARY'!F3+'WEEKLY SUMMARY'!F4+'WEEKLY SUMMARY'!F5+'WEEKLY SUMMARY'!F6+'WEEKLY SUMMARY'!F7+'WEEKLY SUMMARY'!F8</f>
        <v>-21635.088999999996</v>
      </c>
      <c r="C2" s="4"/>
      <c r="D2" s="4"/>
    </row>
    <row r="3" spans="1:4" ht="21.75" thickTop="1" thickBot="1">
      <c r="A3" s="6" t="s">
        <v>40</v>
      </c>
      <c r="B3" s="6">
        <f>'WEEKLY SUMMARY'!E2+'WEEKLY SUMMARY'!E3+'WEEKLY SUMMARY'!E4+'WEEKLY SUMMARY'!E5+'WEEKLY SUMMARY'!E6+'WEEKLY SUMMARY'!E7+'WEEKLY SUMMARY'!E8</f>
        <v>12606.768999999998</v>
      </c>
      <c r="C3" s="4"/>
      <c r="D3" s="4"/>
    </row>
    <row r="4" spans="1:4" ht="21.75" thickTop="1" thickBot="1">
      <c r="A4" s="6" t="s">
        <v>41</v>
      </c>
      <c r="B4" s="6">
        <f>'WEEKLY SUMMARY'!G2+'WEEKLY SUMMARY'!G3+'WEEKLY SUMMARY'!G4+'WEEKLY SUMMARY'!G5+'WEEKLY SUMMARY'!G6+'WEEKLY SUMMARY'!G7+'WEEKLY SUMMARY'!G8</f>
        <v>-21635.088999999996</v>
      </c>
      <c r="C4" s="4"/>
      <c r="D4" s="4"/>
    </row>
    <row r="5" spans="1:4" ht="21.4" thickTop="1">
      <c r="A5" s="4"/>
      <c r="B5" s="4"/>
      <c r="C5" s="4"/>
      <c r="D5" s="4"/>
    </row>
    <row r="6" spans="1:4" ht="21.4" thickBot="1">
      <c r="A6" s="4"/>
      <c r="B6" s="4"/>
      <c r="C6" s="4"/>
      <c r="D6" s="4"/>
    </row>
    <row r="7" spans="1:4" ht="15" thickTop="1" thickBot="1">
      <c r="A7" s="12" t="s">
        <v>42</v>
      </c>
      <c r="B7" s="12" t="s">
        <v>43</v>
      </c>
      <c r="C7" s="12" t="s">
        <v>44</v>
      </c>
      <c r="D7" s="12" t="s">
        <v>45</v>
      </c>
    </row>
    <row r="8" spans="1:4" ht="15" thickTop="1" thickBot="1">
      <c r="A8" s="1">
        <f>'WEEKLY SUMMARY'!B2</f>
        <v>853</v>
      </c>
      <c r="B8" s="1">
        <f>'WEEKLY SUMMARY'!F2</f>
        <v>-3477.7269999999999</v>
      </c>
      <c r="C8" s="1">
        <f>'WEEKLY SUMMARY'!E2</f>
        <v>3407.4270000000001</v>
      </c>
      <c r="D8" s="1">
        <f>'WEEKLY SUMMARY'!G2</f>
        <v>-3477.7269999999999</v>
      </c>
    </row>
    <row r="9" spans="1:4" ht="15" thickTop="1" thickBot="1">
      <c r="A9" s="1">
        <f>'WEEKLY SUMMARY'!B3</f>
        <v>881</v>
      </c>
      <c r="B9" s="1">
        <f>'WEEKLY SUMMARY'!F3</f>
        <v>-3318.2269999999999</v>
      </c>
      <c r="C9" s="1">
        <f>'WEEKLY SUMMARY'!E3</f>
        <v>2194.9269999999997</v>
      </c>
      <c r="D9" s="1">
        <f>'WEEKLY SUMMARY'!G3</f>
        <v>-3318.2269999999999</v>
      </c>
    </row>
    <row r="10" spans="1:4" ht="15" thickTop="1" thickBot="1">
      <c r="A10" s="1">
        <f>'WEEKLY SUMMARY'!B4</f>
        <v>855</v>
      </c>
      <c r="B10" s="1">
        <f>'WEEKLY SUMMARY'!F4</f>
        <v>-3104.7269999999999</v>
      </c>
      <c r="C10" s="1">
        <f>'WEEKLY SUMMARY'!E4</f>
        <v>1124.4269999999999</v>
      </c>
      <c r="D10" s="1">
        <f>'WEEKLY SUMMARY'!G4</f>
        <v>-3104.7269999999999</v>
      </c>
    </row>
    <row r="11" spans="1:4" ht="15" thickTop="1" thickBot="1">
      <c r="A11" s="1">
        <f>'WEEKLY SUMMARY'!B5</f>
        <v>840</v>
      </c>
      <c r="B11" s="1">
        <f>'WEEKLY SUMMARY'!F5</f>
        <v>-3914.7269999999999</v>
      </c>
      <c r="C11" s="1">
        <f>'WEEKLY SUMMARY'!E5</f>
        <v>1969.4269999999999</v>
      </c>
      <c r="D11" s="1">
        <f>'WEEKLY SUMMARY'!G5</f>
        <v>-3914.7269999999999</v>
      </c>
    </row>
    <row r="12" spans="1:4" ht="15" thickTop="1" thickBot="1">
      <c r="A12" s="1">
        <f>'WEEKLY SUMMARY'!B6</f>
        <v>841</v>
      </c>
      <c r="B12" s="1">
        <f>'WEEKLY SUMMARY'!F6</f>
        <v>-2128.2269999999999</v>
      </c>
      <c r="C12" s="1">
        <f>'WEEKLY SUMMARY'!E6</f>
        <v>1768.9269999999999</v>
      </c>
      <c r="D12" s="1">
        <f>'WEEKLY SUMMARY'!G6</f>
        <v>-2128.2269999999999</v>
      </c>
    </row>
    <row r="13" spans="1:4" ht="15" thickTop="1" thickBot="1">
      <c r="A13" s="1">
        <f>'WEEKLY SUMMARY'!B7</f>
        <v>672</v>
      </c>
      <c r="B13" s="1">
        <f>'WEEKLY SUMMARY'!F7</f>
        <v>-2871.7269999999999</v>
      </c>
      <c r="C13" s="1">
        <f>'WEEKLY SUMMARY'!E7</f>
        <v>1099.2069999999999</v>
      </c>
      <c r="D13" s="1">
        <f>'WEEKLY SUMMARY'!G7</f>
        <v>-2871.7269999999999</v>
      </c>
    </row>
    <row r="14" spans="1:4" ht="15" thickTop="1" thickBot="1">
      <c r="A14" s="1">
        <f>'WEEKLY SUMMARY'!B8</f>
        <v>620</v>
      </c>
      <c r="B14" s="1">
        <f>'WEEKLY SUMMARY'!F8</f>
        <v>-2819.7269999999999</v>
      </c>
      <c r="C14" s="1">
        <f>'WEEKLY SUMMARY'!E8</f>
        <v>1042.4269999999999</v>
      </c>
      <c r="D14" s="1">
        <f>'WEEKLY SUMMARY'!G8</f>
        <v>-2819.7269999999999</v>
      </c>
    </row>
    <row r="15" spans="1:4" ht="15" thickTop="1" thickBot="1"/>
    <row r="16" spans="1:4" ht="15" thickTop="1" thickBot="1">
      <c r="A16" s="11" t="s">
        <v>46</v>
      </c>
      <c r="B16" s="11" t="s">
        <v>47</v>
      </c>
      <c r="C16" s="11" t="s">
        <v>48</v>
      </c>
      <c r="D16" s="11" t="s">
        <v>49</v>
      </c>
    </row>
    <row r="17" spans="1:4" ht="15" thickTop="1" thickBot="1">
      <c r="A17" s="1" t="s">
        <v>50</v>
      </c>
      <c r="B17" s="1">
        <f>SUMIF('WEEK HISTORY'!E:E, A17, 'WEEK HISTORY'!B:B)</f>
        <v>-21635.088999999996</v>
      </c>
      <c r="C17" s="1">
        <f>SUMIF('WEEK HISTORY'!E:E, A17, 'WEEK HISTORY'!D:D)</f>
        <v>-21635.088999999996</v>
      </c>
      <c r="D17" s="1">
        <f>SUMIF('WEEK HISTORY'!E:E, A17, 'WEEK HISTORY'!C:C)</f>
        <v>12606.768999999998</v>
      </c>
    </row>
    <row r="18" spans="1:4" ht="15" thickTop="1" thickBot="1">
      <c r="A18" s="1" t="s">
        <v>51</v>
      </c>
      <c r="B18" s="1">
        <f>SUMIF('WEEK HISTORY'!E:E,#REF!, 'WEEK HISTORY'!B:B)</f>
        <v>0</v>
      </c>
      <c r="C18" s="1">
        <f>SUMIF('WEEK HISTORY'!E:E,#REF!, 'WEEK HISTORY'!C:C)</f>
        <v>0</v>
      </c>
      <c r="D18" s="1">
        <f>SUMIF('WEEK HISTORY'!E:E,#REF!, 'WEEK HISTORY'!C:C)</f>
        <v>0</v>
      </c>
    </row>
    <row r="19" spans="1:4" ht="15" thickTop="1" thickBot="1">
      <c r="A19" s="1" t="s">
        <v>52</v>
      </c>
      <c r="B19" s="1">
        <f>SUMIF('WEEK HISTORY'!E:E,#REF!, 'WEEK HISTORY'!B:B)</f>
        <v>0</v>
      </c>
      <c r="C19" s="1">
        <f>SUMIF('WEEK HISTORY'!E:E,#REF!, 'WEEK HISTORY'!C:C)</f>
        <v>0</v>
      </c>
      <c r="D19" s="1">
        <f>SUMIF('WEEK HISTORY'!E:E,#REF!, 'WEEK HISTORY'!C:C)</f>
        <v>0</v>
      </c>
    </row>
    <row r="20" spans="1:4" ht="15" thickTop="1" thickBot="1">
      <c r="A20" s="1" t="s">
        <v>53</v>
      </c>
      <c r="B20" s="1">
        <f>SUMIF('WEEK HISTORY'!E:E,#REF!, 'WEEK HISTORY'!B:B)</f>
        <v>0</v>
      </c>
      <c r="C20" s="1">
        <f>SUMIF('WEEK HISTORY'!E:E,#REF!, 'WEEK HISTORY'!C:C)</f>
        <v>0</v>
      </c>
      <c r="D20" s="1">
        <f>SUMIF('WEEK HISTORY'!E:E,#REF!, 'WEEK HISTORY'!C:C)</f>
        <v>0</v>
      </c>
    </row>
    <row r="21" spans="1:4" ht="15" thickTop="1" thickBot="1">
      <c r="A21" s="1" t="s">
        <v>54</v>
      </c>
      <c r="B21" s="1">
        <f>SUMIF('WEEK HISTORY'!E:E,#REF!, 'WEEK HISTORY'!B:B)</f>
        <v>0</v>
      </c>
      <c r="C21" s="1">
        <f>SUMIF('WEEK HISTORY'!E:E,#REF!, 'WEEK HISTORY'!C:C)</f>
        <v>0</v>
      </c>
      <c r="D21" s="1">
        <f>SUMIF('WEEK HISTORY'!E:E,#REF!, 'WEEK HISTORY'!C:C)</f>
        <v>0</v>
      </c>
    </row>
    <row r="22" spans="1:4" ht="15" thickTop="1" thickBot="1">
      <c r="A22" s="1" t="s">
        <v>55</v>
      </c>
      <c r="B22" s="1">
        <f>SUMIF('WEEK HISTORY'!E:E,#REF!, 'WEEK HISTORY'!B:B)</f>
        <v>0</v>
      </c>
      <c r="C22" s="1">
        <f>SUMIF('WEEK HISTORY'!E:E,#REF!, 'WEEK HISTORY'!C:C)</f>
        <v>0</v>
      </c>
      <c r="D22" s="1">
        <f>SUMIF('WEEK HISTORY'!E:E,#REF!, 'WEEK HISTORY'!C:C)</f>
        <v>0</v>
      </c>
    </row>
    <row r="23" spans="1:4" ht="15" thickTop="1" thickBot="1">
      <c r="A23" s="1" t="s">
        <v>56</v>
      </c>
      <c r="B23" s="1">
        <f>SUMIF('WEEK HISTORY'!E:E,#REF!, 'WEEK HISTORY'!B:B)</f>
        <v>0</v>
      </c>
      <c r="C23" s="1">
        <f>SUMIF('WEEK HISTORY'!E:E,#REF!, 'WEEK HISTORY'!C:C)</f>
        <v>0</v>
      </c>
      <c r="D23" s="1">
        <f>SUMIF('WEEK HISTORY'!E:E,#REF!, 'WEEK HISTORY'!C:C)</f>
        <v>0</v>
      </c>
    </row>
    <row r="24" spans="1:4" ht="15" thickTop="1" thickBot="1">
      <c r="A24" s="1" t="s">
        <v>57</v>
      </c>
      <c r="B24" s="1">
        <f>SUMIF('WEEK HISTORY'!E:E,#REF!, 'WEEK HISTORY'!B:B)</f>
        <v>0</v>
      </c>
      <c r="C24" s="1">
        <f>SUMIF('WEEK HISTORY'!E:E,#REF!, 'WEEK HISTORY'!C:C)</f>
        <v>0</v>
      </c>
      <c r="D24" s="1">
        <f>SUMIF('WEEK HISTORY'!E:E,#REF!, 'WEEK HISTORY'!C:C)</f>
        <v>0</v>
      </c>
    </row>
    <row r="25" spans="1:4" ht="15" thickTop="1" thickBot="1">
      <c r="A25" s="1" t="s">
        <v>58</v>
      </c>
      <c r="B25" s="1">
        <f>SUMIF('WEEK HISTORY'!E:E,#REF!, 'WEEK HISTORY'!B:B)</f>
        <v>0</v>
      </c>
      <c r="C25" s="1">
        <f>SUMIF('WEEK HISTORY'!E:E,#REF!, 'WEEK HISTORY'!C:C)</f>
        <v>0</v>
      </c>
      <c r="D25" s="1">
        <f>SUMIF('WEEK HISTORY'!E:E,#REF!, 'WEEK HISTORY'!C:C)</f>
        <v>0</v>
      </c>
    </row>
    <row r="26" spans="1:4" ht="15" thickTop="1" thickBot="1">
      <c r="A26" s="1" t="s">
        <v>59</v>
      </c>
      <c r="B26" s="1">
        <f>SUMIF('WEEK HISTORY'!E:E,#REF!, 'WEEK HISTORY'!B:B)</f>
        <v>0</v>
      </c>
      <c r="C26" s="1">
        <f>SUMIF('WEEK HISTORY'!E:E,#REF!, 'WEEK HISTORY'!C:C)</f>
        <v>0</v>
      </c>
      <c r="D26" s="1">
        <f>SUMIF('WEEK HISTORY'!E:E,#REF!, 'WEEK HISTORY'!C:C)</f>
        <v>0</v>
      </c>
    </row>
    <row r="27" spans="1:4" ht="15" thickTop="1" thickBot="1">
      <c r="A27" s="1" t="s">
        <v>60</v>
      </c>
      <c r="B27" s="1">
        <f>SUMIF('WEEK HISTORY'!E:E,#REF!, 'WEEK HISTORY'!B:B)</f>
        <v>0</v>
      </c>
      <c r="C27" s="1">
        <f>SUMIF('WEEK HISTORY'!E:E,#REF!, 'WEEK HISTORY'!C:C)</f>
        <v>0</v>
      </c>
      <c r="D27" s="1">
        <f>SUMIF('WEEK HISTORY'!E:E,#REF!, 'WEEK HISTORY'!C:C)</f>
        <v>0</v>
      </c>
    </row>
    <row r="28" spans="1:4" ht="15" thickTop="1" thickBot="1">
      <c r="A28" s="1" t="s">
        <v>61</v>
      </c>
      <c r="B28" s="1">
        <f>SUMIF('WEEK HISTORY'!E:E,#REF!, 'WEEK HISTORY'!B:B)</f>
        <v>0</v>
      </c>
      <c r="C28" s="1">
        <f>SUMIF('WEEK HISTORY'!E:E,#REF!, 'WEEK HISTORY'!C:C)</f>
        <v>0</v>
      </c>
      <c r="D28" s="1">
        <f>SUMIF('WEEK HISTORY'!E:E,#REF!, 'WEEK HISTORY'!C:C)</f>
        <v>0</v>
      </c>
    </row>
    <row r="29" spans="1:4" ht="15" thickTop="1" thickBot="1">
      <c r="A29" s="1" t="s">
        <v>50</v>
      </c>
      <c r="B29" s="1">
        <f>SUMIF('WEEK HISTORY'!E:E,#REF!, 'WEEK HISTORY'!B:B)</f>
        <v>0</v>
      </c>
      <c r="C29" s="1">
        <f>SUMIF('WEEK HISTORY'!E:E,#REF!, 'WEEK HISTORY'!C:C)</f>
        <v>0</v>
      </c>
      <c r="D29" s="1">
        <f>SUMIF('WEEK HISTORY'!E:E,#REF!, 'WEEK HISTORY'!C:C)</f>
        <v>0</v>
      </c>
    </row>
    <row r="30" spans="1:4" ht="14.65" thickTop="1"/>
    <row r="36" spans="1:5" ht="14.65" thickBot="1"/>
    <row r="37" spans="1:5" ht="15" thickTop="1" thickBot="1">
      <c r="A37" s="11" t="s">
        <v>62</v>
      </c>
      <c r="B37" s="11" t="s">
        <v>47</v>
      </c>
      <c r="C37" s="11" t="s">
        <v>63</v>
      </c>
      <c r="D37" s="11" t="s">
        <v>45</v>
      </c>
      <c r="E37" s="11" t="s">
        <v>28</v>
      </c>
    </row>
    <row r="38" spans="1:5" ht="15" thickTop="1" thickBot="1">
      <c r="A38" s="1">
        <v>48</v>
      </c>
      <c r="B38" s="1">
        <f>SUM('WEEKLY SUMMARY'!F2:F8)</f>
        <v>-21635.088999999996</v>
      </c>
      <c r="C38" s="1">
        <f>SUM('WEEKLY SUMMARY'!E2:E8)</f>
        <v>12606.768999999998</v>
      </c>
      <c r="D38" s="1">
        <f>SUM('WEEKLY SUMMARY'!G2:G8)</f>
        <v>-21635.088999999996</v>
      </c>
      <c r="E38" s="13">
        <v>45988</v>
      </c>
    </row>
    <row r="39" spans="1:5" ht="15" thickTop="1" thickBot="1">
      <c r="A39" s="1">
        <v>49</v>
      </c>
      <c r="B39" s="1"/>
      <c r="C39" s="1"/>
      <c r="D39" s="1"/>
      <c r="E39" s="1"/>
    </row>
    <row r="40" spans="1:5" ht="15" thickTop="1" thickBot="1">
      <c r="A40" s="1">
        <v>50</v>
      </c>
      <c r="B40" s="1"/>
      <c r="C40" s="1"/>
      <c r="D40" s="1"/>
      <c r="E40" s="1"/>
    </row>
    <row r="41" spans="1:5" ht="15" thickTop="1" thickBot="1">
      <c r="A41" s="1">
        <v>51</v>
      </c>
      <c r="B41" s="1"/>
      <c r="C41" s="1"/>
      <c r="D41" s="1"/>
      <c r="E41" s="1"/>
    </row>
    <row r="42" spans="1:5" ht="15" thickTop="1" thickBot="1">
      <c r="A42" s="1">
        <v>52</v>
      </c>
      <c r="B42" s="1"/>
      <c r="C42" s="1"/>
      <c r="D42" s="1"/>
      <c r="E42" s="1"/>
    </row>
    <row r="43" spans="1:5" ht="15" thickTop="1" thickBot="1">
      <c r="A43" s="1">
        <v>53</v>
      </c>
      <c r="B43" s="1"/>
      <c r="C43" s="1"/>
      <c r="D43" s="1"/>
      <c r="E43" s="1"/>
    </row>
    <row r="44" spans="1:5" ht="15" thickTop="1" thickBot="1">
      <c r="A44" s="1">
        <v>54</v>
      </c>
      <c r="B44" s="1"/>
      <c r="C44" s="1"/>
      <c r="D44" s="1"/>
      <c r="E44" s="1"/>
    </row>
    <row r="45" spans="1:5" ht="15" thickTop="1" thickBot="1">
      <c r="A45" s="1">
        <v>55</v>
      </c>
      <c r="B45" s="1"/>
      <c r="C45" s="1"/>
      <c r="D45" s="1"/>
      <c r="E45" s="1"/>
    </row>
    <row r="46" spans="1:5" ht="15" thickTop="1" thickBot="1">
      <c r="A46" s="1"/>
      <c r="B46" s="1"/>
      <c r="C46" s="1"/>
      <c r="D46" s="1"/>
      <c r="E46" s="1"/>
    </row>
    <row r="47" spans="1:5" ht="15" thickTop="1" thickBot="1">
      <c r="A47" s="1"/>
      <c r="B47" s="1"/>
      <c r="C47" s="1"/>
      <c r="D47" s="1"/>
      <c r="E47" s="1"/>
    </row>
    <row r="48" spans="1:5" ht="15" thickTop="1" thickBot="1">
      <c r="A48" s="1"/>
      <c r="B48" s="1"/>
      <c r="C48" s="1"/>
      <c r="D48" s="1"/>
      <c r="E48" s="1"/>
    </row>
    <row r="49" spans="1:5" ht="15" thickTop="1" thickBot="1">
      <c r="A49" s="1"/>
      <c r="B49" s="1"/>
      <c r="C49" s="1"/>
      <c r="D49" s="1"/>
      <c r="E49" s="1"/>
    </row>
    <row r="50" spans="1:5" ht="15" thickTop="1" thickBot="1">
      <c r="A50" s="1"/>
      <c r="B50" s="1"/>
      <c r="C50" s="1"/>
      <c r="D50" s="1"/>
      <c r="E50" s="1"/>
    </row>
    <row r="51" spans="1:5" ht="14.65" thickTop="1"/>
  </sheetData>
  <phoneticPr fontId="6" type="noConversion"/>
  <conditionalFormatting sqref="B2:B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7:B2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7:C29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D8:D1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7:D29">
    <cfRule type="iconSet" priority="3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263EA-8557-4011-832D-5E59E3A75F87}">
  <sheetPr codeName="Sheet6"/>
  <dimension ref="A1:F55"/>
  <sheetViews>
    <sheetView workbookViewId="0">
      <selection activeCell="K39" sqref="K39"/>
    </sheetView>
  </sheetViews>
  <sheetFormatPr defaultRowHeight="14.25"/>
  <cols>
    <col min="2" max="2" width="15.28515625" bestFit="1" customWidth="1"/>
    <col min="3" max="3" width="19.28515625" bestFit="1" customWidth="1"/>
    <col min="4" max="4" width="12.28515625" bestFit="1" customWidth="1"/>
    <col min="5" max="5" width="10.28515625" bestFit="1" customWidth="1"/>
  </cols>
  <sheetData>
    <row r="1" spans="1:6" ht="15" thickTop="1" thickBot="1">
      <c r="A1" s="9" t="s">
        <v>9</v>
      </c>
      <c r="B1" s="9" t="s">
        <v>64</v>
      </c>
      <c r="C1" s="9" t="s">
        <v>65</v>
      </c>
      <c r="D1" s="9" t="s">
        <v>66</v>
      </c>
      <c r="E1" s="9" t="s">
        <v>46</v>
      </c>
      <c r="F1" s="9" t="s">
        <v>67</v>
      </c>
    </row>
    <row r="2" spans="1:6" ht="15" thickTop="1" thickBot="1">
      <c r="A2" s="1">
        <v>48</v>
      </c>
      <c r="B2" s="1">
        <f>SUM('WEEKLY SUMMARY'!F2:F8)</f>
        <v>-21635.088999999996</v>
      </c>
      <c r="C2" s="1">
        <f>SUM('WEEKLY SUMMARY'!E2:E8)</f>
        <v>12606.768999999998</v>
      </c>
      <c r="D2" s="1">
        <f>SUM('WEEKLY SUMMARY'!G2:G8)</f>
        <v>-21635.088999999996</v>
      </c>
      <c r="E2" s="1" t="s">
        <v>50</v>
      </c>
      <c r="F2" s="1">
        <v>2025</v>
      </c>
    </row>
    <row r="3" spans="1:6" ht="15" thickTop="1" thickBot="1">
      <c r="A3" s="10"/>
      <c r="B3" s="10"/>
      <c r="C3" s="10"/>
      <c r="D3" s="10"/>
      <c r="E3" s="10"/>
      <c r="F3" s="10"/>
    </row>
    <row r="4" spans="1:6" ht="15" thickTop="1" thickBot="1">
      <c r="A4" s="1"/>
      <c r="B4" s="1"/>
      <c r="C4" s="1"/>
      <c r="D4" s="1"/>
      <c r="E4" s="1"/>
      <c r="F4" s="1"/>
    </row>
    <row r="5" spans="1:6" ht="15" thickTop="1" thickBot="1">
      <c r="A5" s="1"/>
      <c r="B5" s="1"/>
      <c r="C5" s="1"/>
      <c r="D5" s="1"/>
      <c r="E5" s="1"/>
      <c r="F5" s="1"/>
    </row>
    <row r="6" spans="1:6" ht="15" thickTop="1" thickBot="1">
      <c r="A6" s="1"/>
      <c r="B6" s="1"/>
      <c r="C6" s="1"/>
      <c r="D6" s="1"/>
      <c r="E6" s="1"/>
      <c r="F6" s="1"/>
    </row>
    <row r="7" spans="1:6" ht="15" thickTop="1" thickBot="1">
      <c r="A7" s="1"/>
      <c r="B7" s="1"/>
      <c r="C7" s="1"/>
      <c r="D7" s="1"/>
      <c r="E7" s="1"/>
      <c r="F7" s="1"/>
    </row>
    <row r="8" spans="1:6" ht="15" thickTop="1" thickBot="1">
      <c r="A8" s="1"/>
      <c r="B8" s="1"/>
      <c r="C8" s="1"/>
      <c r="D8" s="1"/>
      <c r="E8" s="1"/>
      <c r="F8" s="1"/>
    </row>
    <row r="9" spans="1:6" ht="15" thickTop="1" thickBot="1">
      <c r="A9" s="1"/>
      <c r="B9" s="1"/>
      <c r="C9" s="1"/>
      <c r="D9" s="1"/>
      <c r="E9" s="1"/>
      <c r="F9" s="1"/>
    </row>
    <row r="10" spans="1:6" ht="15" thickTop="1" thickBot="1">
      <c r="A10" s="1"/>
      <c r="B10" s="1"/>
      <c r="C10" s="1"/>
      <c r="D10" s="1"/>
      <c r="E10" s="1"/>
      <c r="F10" s="1"/>
    </row>
    <row r="11" spans="1:6" ht="15" thickTop="1" thickBot="1">
      <c r="A11" s="1"/>
      <c r="B11" s="1"/>
      <c r="C11" s="1"/>
      <c r="D11" s="1"/>
      <c r="E11" s="1"/>
      <c r="F11" s="1"/>
    </row>
    <row r="12" spans="1:6" ht="15" thickTop="1" thickBot="1">
      <c r="A12" s="1"/>
      <c r="B12" s="1"/>
      <c r="C12" s="1"/>
      <c r="D12" s="1"/>
      <c r="E12" s="1"/>
      <c r="F12" s="1"/>
    </row>
    <row r="13" spans="1:6" ht="15" thickTop="1" thickBot="1">
      <c r="A13" s="1"/>
      <c r="B13" s="1"/>
      <c r="C13" s="1"/>
      <c r="D13" s="1"/>
      <c r="E13" s="1"/>
      <c r="F13" s="1"/>
    </row>
    <row r="14" spans="1:6" ht="15" thickTop="1" thickBot="1">
      <c r="A14" s="1"/>
      <c r="B14" s="1"/>
      <c r="C14" s="1"/>
      <c r="D14" s="1"/>
      <c r="E14" s="1"/>
      <c r="F14" s="1"/>
    </row>
    <row r="15" spans="1:6" ht="15" thickTop="1" thickBot="1">
      <c r="A15" s="1"/>
      <c r="B15" s="1"/>
      <c r="C15" s="1"/>
      <c r="D15" s="1"/>
      <c r="E15" s="1"/>
      <c r="F15" s="1"/>
    </row>
    <row r="16" spans="1:6" ht="15" thickTop="1" thickBot="1">
      <c r="A16" s="1"/>
      <c r="B16" s="1"/>
      <c r="C16" s="1"/>
      <c r="D16" s="1"/>
      <c r="E16" s="1"/>
      <c r="F16" s="1"/>
    </row>
    <row r="17" ht="14.65" thickTop="1"/>
    <row r="37" spans="1:5" ht="14.65" thickBot="1"/>
    <row r="38" spans="1:5" ht="15" thickTop="1" thickBot="1">
      <c r="A38" s="15" t="s">
        <v>62</v>
      </c>
      <c r="B38" s="15" t="s">
        <v>68</v>
      </c>
      <c r="C38" s="15" t="s">
        <v>63</v>
      </c>
      <c r="D38" s="15" t="s">
        <v>45</v>
      </c>
      <c r="E38" s="15" t="s">
        <v>28</v>
      </c>
    </row>
    <row r="39" spans="1:5" ht="15" thickTop="1" thickBot="1">
      <c r="A39" s="1">
        <v>48</v>
      </c>
      <c r="B39" s="1">
        <v>35432.67</v>
      </c>
      <c r="C39" s="1">
        <v>13667.78</v>
      </c>
      <c r="D39" s="1">
        <v>35432.67</v>
      </c>
      <c r="E39" s="13">
        <v>45988</v>
      </c>
    </row>
    <row r="40" spans="1:5" ht="15" thickTop="1" thickBot="1">
      <c r="A40" s="1"/>
      <c r="B40" s="1"/>
      <c r="C40" s="1"/>
      <c r="D40" s="1"/>
      <c r="E40" s="1"/>
    </row>
    <row r="41" spans="1:5" ht="15" thickTop="1" thickBot="1">
      <c r="A41" s="1"/>
      <c r="B41" s="1"/>
      <c r="C41" s="1"/>
      <c r="D41" s="1"/>
      <c r="E41" s="1"/>
    </row>
    <row r="42" spans="1:5" ht="15" thickTop="1" thickBot="1">
      <c r="A42" s="1"/>
      <c r="B42" s="1"/>
      <c r="C42" s="1"/>
      <c r="D42" s="1"/>
      <c r="E42" s="1"/>
    </row>
    <row r="43" spans="1:5" ht="15" thickTop="1" thickBot="1">
      <c r="A43" s="1"/>
      <c r="B43" s="1"/>
      <c r="C43" s="1"/>
      <c r="D43" s="1"/>
      <c r="E43" s="1"/>
    </row>
    <row r="44" spans="1:5" ht="15" thickTop="1" thickBot="1">
      <c r="A44" s="1"/>
      <c r="B44" s="1"/>
      <c r="C44" s="1"/>
      <c r="D44" s="1"/>
      <c r="E44" s="1"/>
    </row>
    <row r="45" spans="1:5" ht="15" thickTop="1" thickBot="1">
      <c r="A45" s="1"/>
      <c r="B45" s="1"/>
      <c r="C45" s="1"/>
      <c r="D45" s="1"/>
      <c r="E45" s="1"/>
    </row>
    <row r="46" spans="1:5" ht="15" thickTop="1" thickBot="1">
      <c r="A46" s="1"/>
      <c r="B46" s="1"/>
      <c r="C46" s="1"/>
      <c r="D46" s="1"/>
      <c r="E46" s="1"/>
    </row>
    <row r="47" spans="1:5" ht="15" thickTop="1" thickBot="1">
      <c r="A47" s="1"/>
      <c r="B47" s="1"/>
      <c r="C47" s="1"/>
      <c r="D47" s="1"/>
      <c r="E47" s="1"/>
    </row>
    <row r="48" spans="1:5" ht="15" thickTop="1" thickBot="1">
      <c r="A48" s="1"/>
      <c r="B48" s="1"/>
      <c r="C48" s="1"/>
      <c r="D48" s="1"/>
      <c r="E48" s="1"/>
    </row>
    <row r="49" spans="1:5" ht="15" thickTop="1" thickBot="1">
      <c r="A49" s="1"/>
      <c r="B49" s="1"/>
      <c r="C49" s="1"/>
      <c r="D49" s="1"/>
      <c r="E49" s="1"/>
    </row>
    <row r="50" spans="1:5" ht="15" thickTop="1" thickBot="1">
      <c r="A50" s="1"/>
      <c r="B50" s="1"/>
      <c r="C50" s="1"/>
      <c r="D50" s="1"/>
      <c r="E50" s="1"/>
    </row>
    <row r="51" spans="1:5" ht="15" thickTop="1" thickBot="1">
      <c r="A51" s="1"/>
      <c r="B51" s="1"/>
      <c r="C51" s="1"/>
      <c r="D51" s="1"/>
      <c r="E51" s="1"/>
    </row>
    <row r="52" spans="1:5" ht="15" thickTop="1" thickBot="1">
      <c r="A52" s="1"/>
      <c r="B52" s="1"/>
      <c r="C52" s="1"/>
      <c r="D52" s="1"/>
      <c r="E52" s="1"/>
    </row>
    <row r="53" spans="1:5" ht="15" thickTop="1" thickBot="1">
      <c r="A53" s="1"/>
      <c r="B53" s="1"/>
      <c r="C53" s="1"/>
      <c r="D53" s="1"/>
      <c r="E53" s="1"/>
    </row>
    <row r="54" spans="1:5" ht="15" thickTop="1" thickBot="1">
      <c r="A54" s="1"/>
      <c r="B54" s="1"/>
      <c r="C54" s="1"/>
      <c r="D54" s="1"/>
      <c r="E54" s="1"/>
    </row>
    <row r="55" spans="1:5" ht="14.6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Zakaria Omar</dc:creator>
  <cp:keywords/>
  <dc:description/>
  <cp:lastModifiedBy>Guest User</cp:lastModifiedBy>
  <cp:revision/>
  <dcterms:created xsi:type="dcterms:W3CDTF">2025-12-07T16:12:20Z</dcterms:created>
  <dcterms:modified xsi:type="dcterms:W3CDTF">2026-02-26T04:48:44Z</dcterms:modified>
  <cp:category/>
  <cp:contentStatus/>
</cp:coreProperties>
</file>